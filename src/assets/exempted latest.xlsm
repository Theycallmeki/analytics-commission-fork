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HP\Downloads\"/>
    </mc:Choice>
  </mc:AlternateContent>
  <xr:revisionPtr revIDLastSave="0" documentId="13_ncr:1_{61D3E9DE-9AF1-43D2-9774-80A860B5B058}" xr6:coauthVersionLast="47" xr6:coauthVersionMax="47" xr10:uidLastSave="{00000000-0000-0000-0000-000000000000}"/>
  <bookViews>
    <workbookView showHorizontalScroll="0" showVerticalScroll="0" showSheetTabs="0" xWindow="-120" yWindow="-120" windowWidth="20730" windowHeight="11040" activeTab="2" xr2:uid="{00000000-000D-0000-FFFF-FFFF00000000}"/>
  </bookViews>
  <sheets>
    <sheet name="Raw Data" sheetId="1" r:id="rId1"/>
    <sheet name="Pivot Tables" sheetId="2" r:id="rId2"/>
    <sheet name="Dashboard" sheetId="3" r:id="rId3"/>
    <sheet name="Insights &amp; Recommendations" sheetId="4" r:id="rId4"/>
  </sheets>
  <definedNames>
    <definedName name="_xlchart.v2.0" hidden="1">'Pivot Tables'!$L$11:$L$15</definedName>
    <definedName name="_xlchart.v2.1" hidden="1">'Pivot Tables'!$M$11:$M$15</definedName>
    <definedName name="Slicer_Branch">#N/A</definedName>
    <definedName name="Slicer_Date">#N/A</definedName>
    <definedName name="Slicer_Month">#N/A</definedName>
  </definedNames>
  <calcPr calcId="191029"/>
  <pivotCaches>
    <pivotCache cacheId="29"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1" i="2" l="1" a="1"/>
  <c r="L11" i="2" s="1"/>
  <c r="X5" i="2"/>
  <c r="U5" i="2"/>
  <c r="V5" i="2"/>
  <c r="Z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<sst xmlns="http://schemas.openxmlformats.org/spreadsheetml/2006/main" count="6087" uniqueCount="972">
  <si>
    <t>Date</t>
  </si>
  <si>
    <t>Branch</t>
  </si>
  <si>
    <t>Sales</t>
  </si>
  <si>
    <t>Profit</t>
  </si>
  <si>
    <t>Target Sales</t>
  </si>
  <si>
    <t>Cost</t>
  </si>
  <si>
    <t>Expenses</t>
  </si>
  <si>
    <t>Customer Count</t>
  </si>
  <si>
    <t>Customer Satisfaction</t>
  </si>
  <si>
    <t>Score</t>
  </si>
  <si>
    <t>03/03/2024</t>
  </si>
  <si>
    <t>04/08/2023</t>
  </si>
  <si>
    <t>19/08/2023</t>
  </si>
  <si>
    <t>12/07/2023</t>
  </si>
  <si>
    <t>01/05/2022</t>
  </si>
  <si>
    <t>22/10/2025</t>
  </si>
  <si>
    <t>05/12/2023</t>
  </si>
  <si>
    <t>03/06/2024</t>
  </si>
  <si>
    <t>03/01/2024</t>
  </si>
  <si>
    <t>27/08/2024</t>
  </si>
  <si>
    <t>07/01/2023</t>
  </si>
  <si>
    <t>07/11/2025</t>
  </si>
  <si>
    <t>06/03/2024</t>
  </si>
  <si>
    <t>21/01/2023</t>
  </si>
  <si>
    <t>01/04/2025</t>
  </si>
  <si>
    <t>04/01/2025</t>
  </si>
  <si>
    <t>28/01/2025</t>
  </si>
  <si>
    <t>22/09/2025</t>
  </si>
  <si>
    <t>23/02/2025</t>
  </si>
  <si>
    <t>06/07/2022</t>
  </si>
  <si>
    <t>10/10/2025</t>
  </si>
  <si>
    <t>01/05/2023</t>
  </si>
  <si>
    <t>12/12/2024</t>
  </si>
  <si>
    <t>10/02/2022</t>
  </si>
  <si>
    <t>15/10/2022</t>
  </si>
  <si>
    <t>24/04/2025</t>
  </si>
  <si>
    <t>28/12/2022</t>
  </si>
  <si>
    <t>01/10/2024</t>
  </si>
  <si>
    <t>28/05/2025</t>
  </si>
  <si>
    <t>21/07/2024</t>
  </si>
  <si>
    <t>25/03/2023</t>
  </si>
  <si>
    <t>18/06/2025</t>
  </si>
  <si>
    <t>27/07/2022</t>
  </si>
  <si>
    <t>15/08/2025</t>
  </si>
  <si>
    <t>26/04/2024</t>
  </si>
  <si>
    <t>18/10/2023</t>
  </si>
  <si>
    <t>13/09/2023</t>
  </si>
  <si>
    <t>22/06/2024</t>
  </si>
  <si>
    <t>26/09/2024</t>
  </si>
  <si>
    <t>18/05/2023</t>
  </si>
  <si>
    <t>28/12/2023</t>
  </si>
  <si>
    <t>21/11/2024</t>
  </si>
  <si>
    <t>29/06/2025</t>
  </si>
  <si>
    <t>10/07/2024</t>
  </si>
  <si>
    <t>17/08/2024</t>
  </si>
  <si>
    <t>13/01/2025</t>
  </si>
  <si>
    <t>04/05/2022</t>
  </si>
  <si>
    <t>25/03/2024</t>
  </si>
  <si>
    <t>23/11/2025</t>
  </si>
  <si>
    <t>08/11/2022</t>
  </si>
  <si>
    <t>19/12/2024</t>
  </si>
  <si>
    <t>19/08/2024</t>
  </si>
  <si>
    <t>12/03/2025</t>
  </si>
  <si>
    <t>19/12/2022</t>
  </si>
  <si>
    <t>30/11/2024</t>
  </si>
  <si>
    <t>14/06/2025</t>
  </si>
  <si>
    <t>10/04/2024</t>
  </si>
  <si>
    <t>08/02/2022</t>
  </si>
  <si>
    <t>22/06/2023</t>
  </si>
  <si>
    <t>16/10/2025</t>
  </si>
  <si>
    <t>17/08/2022</t>
  </si>
  <si>
    <t>06/12/2025</t>
  </si>
  <si>
    <t>15/10/2023</t>
  </si>
  <si>
    <t>04/11/2022</t>
  </si>
  <si>
    <t>17/05/2023</t>
  </si>
  <si>
    <t>23/06/2025</t>
  </si>
  <si>
    <t>28/06/2022</t>
  </si>
  <si>
    <t>12/07/2024</t>
  </si>
  <si>
    <t>23/02/2022</t>
  </si>
  <si>
    <t>29/09/2023</t>
  </si>
  <si>
    <t>24/06/2024</t>
  </si>
  <si>
    <t>06/07/2025</t>
  </si>
  <si>
    <t>08/01/2025</t>
  </si>
  <si>
    <t>17/09/2023</t>
  </si>
  <si>
    <t>26/06/2024</t>
  </si>
  <si>
    <t>21/03/2025</t>
  </si>
  <si>
    <t>11/05/2024</t>
  </si>
  <si>
    <t>01/03/2023</t>
  </si>
  <si>
    <t>25/01/2022</t>
  </si>
  <si>
    <t>07/03/2024</t>
  </si>
  <si>
    <t>02/01/2025</t>
  </si>
  <si>
    <t>07/04/2023</t>
  </si>
  <si>
    <t>06/06/2022</t>
  </si>
  <si>
    <t>29/03/2024</t>
  </si>
  <si>
    <t>08/11/2024</t>
  </si>
  <si>
    <t>12/02/2024</t>
  </si>
  <si>
    <t>09/07/2023</t>
  </si>
  <si>
    <t>18/12/2023</t>
  </si>
  <si>
    <t>23/07/2024</t>
  </si>
  <si>
    <t>21/09/2022</t>
  </si>
  <si>
    <t>21/06/2025</t>
  </si>
  <si>
    <t>28/11/2022</t>
  </si>
  <si>
    <t>27/07/2024</t>
  </si>
  <si>
    <t>06/03/2025</t>
  </si>
  <si>
    <t>17/11/2025</t>
  </si>
  <si>
    <t>31/12/2025</t>
  </si>
  <si>
    <t>05/10/2024</t>
  </si>
  <si>
    <t>09/03/2023</t>
  </si>
  <si>
    <t>25/01/2025</t>
  </si>
  <si>
    <t>21/04/2025</t>
  </si>
  <si>
    <t>29/07/2024</t>
  </si>
  <si>
    <t>02/04/2025</t>
  </si>
  <si>
    <t>22/12/2024</t>
  </si>
  <si>
    <t>01/12/2024</t>
  </si>
  <si>
    <t>25/05/2025</t>
  </si>
  <si>
    <t>10/02/2025</t>
  </si>
  <si>
    <t>04/12/2024</t>
  </si>
  <si>
    <t>14/02/2024</t>
  </si>
  <si>
    <t>04/03/2024</t>
  </si>
  <si>
    <t>27/05/2024</t>
  </si>
  <si>
    <t>01/10/2022</t>
  </si>
  <si>
    <t>06/02/2022</t>
  </si>
  <si>
    <t>10/11/2022</t>
  </si>
  <si>
    <t>17/06/2025</t>
  </si>
  <si>
    <t>23/01/2024</t>
  </si>
  <si>
    <t>24/02/2023</t>
  </si>
  <si>
    <t>02/10/2025</t>
  </si>
  <si>
    <t>24/08/2022</t>
  </si>
  <si>
    <t>17/07/2024</t>
  </si>
  <si>
    <t>22/10/2022</t>
  </si>
  <si>
    <t>31/03/2022</t>
  </si>
  <si>
    <t>17/06/2023</t>
  </si>
  <si>
    <t>03/09/2023</t>
  </si>
  <si>
    <t>08/09/2024</t>
  </si>
  <si>
    <t>05/09/2024</t>
  </si>
  <si>
    <t>20/11/2024</t>
  </si>
  <si>
    <t>21/06/2023</t>
  </si>
  <si>
    <t>12/02/2022</t>
  </si>
  <si>
    <t>08/10/2022</t>
  </si>
  <si>
    <t>31/07/2025</t>
  </si>
  <si>
    <t>27/06/2023</t>
  </si>
  <si>
    <t>02/12/2022</t>
  </si>
  <si>
    <t>13/04/2025</t>
  </si>
  <si>
    <t>02/05/2023</t>
  </si>
  <si>
    <t>11/07/2023</t>
  </si>
  <si>
    <t>05/01/2023</t>
  </si>
  <si>
    <t>14/09/2024</t>
  </si>
  <si>
    <t>11/10/2022</t>
  </si>
  <si>
    <t>06/09/2024</t>
  </si>
  <si>
    <t>29/05/2022</t>
  </si>
  <si>
    <t>23/09/2022</t>
  </si>
  <si>
    <t>24/04/2023</t>
  </si>
  <si>
    <t>21/11/2023</t>
  </si>
  <si>
    <t>28/04/2025</t>
  </si>
  <si>
    <t>27/05/2022</t>
  </si>
  <si>
    <t>05/02/2025</t>
  </si>
  <si>
    <t>17/05/2024</t>
  </si>
  <si>
    <t>29/08/2022</t>
  </si>
  <si>
    <t>13/09/2025</t>
  </si>
  <si>
    <t>29/10/2025</t>
  </si>
  <si>
    <t>06/12/2023</t>
  </si>
  <si>
    <t>23/09/2023</t>
  </si>
  <si>
    <t>14/04/2023</t>
  </si>
  <si>
    <t>20/06/2023</t>
  </si>
  <si>
    <t>18/05/2024</t>
  </si>
  <si>
    <t>16/03/2025</t>
  </si>
  <si>
    <t>22/11/2023</t>
  </si>
  <si>
    <t>09/03/2024</t>
  </si>
  <si>
    <t>23/08/2025</t>
  </si>
  <si>
    <t>25/04/2025</t>
  </si>
  <si>
    <t>31/10/2023</t>
  </si>
  <si>
    <t>24/03/2022</t>
  </si>
  <si>
    <t>18/02/2025</t>
  </si>
  <si>
    <t>29/03/2025</t>
  </si>
  <si>
    <t>01/02/2024</t>
  </si>
  <si>
    <t>08/01/2024</t>
  </si>
  <si>
    <t>27/10/2023</t>
  </si>
  <si>
    <t>04/02/2023</t>
  </si>
  <si>
    <t>16/09/2023</t>
  </si>
  <si>
    <t>31/08/2025</t>
  </si>
  <si>
    <t>15/04/2023</t>
  </si>
  <si>
    <t>26/05/2022</t>
  </si>
  <si>
    <t>12/09/2024</t>
  </si>
  <si>
    <t>16/04/2025</t>
  </si>
  <si>
    <t>08/01/2022</t>
  </si>
  <si>
    <t>23/04/2023</t>
  </si>
  <si>
    <t>08/02/2024</t>
  </si>
  <si>
    <t>14/12/2022</t>
  </si>
  <si>
    <t>12/10/2022</t>
  </si>
  <si>
    <t>27/01/2022</t>
  </si>
  <si>
    <t>07/03/2023</t>
  </si>
  <si>
    <t>06/10/2022</t>
  </si>
  <si>
    <t>17/03/2023</t>
  </si>
  <si>
    <t>23/01/2022</t>
  </si>
  <si>
    <t>18/04/2024</t>
  </si>
  <si>
    <t>16/05/2025</t>
  </si>
  <si>
    <t>01/03/2025</t>
  </si>
  <si>
    <t>02/06/2023</t>
  </si>
  <si>
    <t>16/03/2022</t>
  </si>
  <si>
    <t>25/04/2022</t>
  </si>
  <si>
    <t>31/05/2023</t>
  </si>
  <si>
    <t>19/11/2025</t>
  </si>
  <si>
    <t>19/05/2023</t>
  </si>
  <si>
    <t>27/02/2023</t>
  </si>
  <si>
    <t>13/11/2025</t>
  </si>
  <si>
    <t>20/10/2022</t>
  </si>
  <si>
    <t>17/10/2023</t>
  </si>
  <si>
    <t>03/11/2025</t>
  </si>
  <si>
    <t>05/03/2024</t>
  </si>
  <si>
    <t>18/04/2023</t>
  </si>
  <si>
    <t>10/03/2025</t>
  </si>
  <si>
    <t>27/02/2025</t>
  </si>
  <si>
    <t>15/03/2023</t>
  </si>
  <si>
    <t>18/04/2022</t>
  </si>
  <si>
    <t>29/01/2025</t>
  </si>
  <si>
    <t>14/07/2024</t>
  </si>
  <si>
    <t>19/01/2023</t>
  </si>
  <si>
    <t>30/05/2022</t>
  </si>
  <si>
    <t>29/04/2022</t>
  </si>
  <si>
    <t>23/04/2024</t>
  </si>
  <si>
    <t>11/04/2024</t>
  </si>
  <si>
    <t>28/10/2023</t>
  </si>
  <si>
    <t>26/09/2025</t>
  </si>
  <si>
    <t>24/04/2024</t>
  </si>
  <si>
    <t>20/06/2022</t>
  </si>
  <si>
    <t>06/04/2024</t>
  </si>
  <si>
    <t>13/02/2025</t>
  </si>
  <si>
    <t>30/07/2022</t>
  </si>
  <si>
    <t>14/07/2025</t>
  </si>
  <si>
    <t>07/08/2024</t>
  </si>
  <si>
    <t>25/12/2022</t>
  </si>
  <si>
    <t>06/04/2025</t>
  </si>
  <si>
    <t>10/06/2023</t>
  </si>
  <si>
    <t>29/11/2023</t>
  </si>
  <si>
    <t>31/01/2022</t>
  </si>
  <si>
    <t>24/07/2025</t>
  </si>
  <si>
    <t>05/11/2022</t>
  </si>
  <si>
    <t>20/05/2025</t>
  </si>
  <si>
    <t>16/04/2024</t>
  </si>
  <si>
    <t>08/01/2023</t>
  </si>
  <si>
    <t>24/02/2024</t>
  </si>
  <si>
    <t>07/09/2023</t>
  </si>
  <si>
    <t>25/12/2023</t>
  </si>
  <si>
    <t>28/11/2025</t>
  </si>
  <si>
    <t>05/09/2022</t>
  </si>
  <si>
    <t>06/11/2024</t>
  </si>
  <si>
    <t>28/09/2023</t>
  </si>
  <si>
    <t>21/12/2023</t>
  </si>
  <si>
    <t>01/06/2025</t>
  </si>
  <si>
    <t>11/01/2025</t>
  </si>
  <si>
    <t>21/04/2023</t>
  </si>
  <si>
    <t>26/08/2025</t>
  </si>
  <si>
    <t>28/11/2023</t>
  </si>
  <si>
    <t>25/10/2023</t>
  </si>
  <si>
    <t>15/11/2022</t>
  </si>
  <si>
    <t>30/11/2022</t>
  </si>
  <si>
    <t>11/12/2023</t>
  </si>
  <si>
    <t>16/06/2025</t>
  </si>
  <si>
    <t>30/09/2025</t>
  </si>
  <si>
    <t>14/05/2023</t>
  </si>
  <si>
    <t>13/12/2022</t>
  </si>
  <si>
    <t>08/03/2023</t>
  </si>
  <si>
    <t>15/06/2022</t>
  </si>
  <si>
    <t>26/07/2023</t>
  </si>
  <si>
    <t>13/06/2025</t>
  </si>
  <si>
    <t>29/03/2022</t>
  </si>
  <si>
    <t>29/11/2024</t>
  </si>
  <si>
    <t>31/10/2025</t>
  </si>
  <si>
    <t>11/11/2022</t>
  </si>
  <si>
    <t>09/11/2023</t>
  </si>
  <si>
    <t>11/02/2023</t>
  </si>
  <si>
    <t>17/10/2022</t>
  </si>
  <si>
    <t>19/04/2024</t>
  </si>
  <si>
    <t>28/08/2022</t>
  </si>
  <si>
    <t>17/02/2022</t>
  </si>
  <si>
    <t>21/02/2024</t>
  </si>
  <si>
    <t>05/08/2024</t>
  </si>
  <si>
    <t>03/05/2022</t>
  </si>
  <si>
    <t>29/12/2024</t>
  </si>
  <si>
    <t>27/06/2022</t>
  </si>
  <si>
    <t>12/05/2024</t>
  </si>
  <si>
    <t>05/02/2022</t>
  </si>
  <si>
    <t>20/11/2023</t>
  </si>
  <si>
    <t>27/08/2025</t>
  </si>
  <si>
    <t>16/05/2022</t>
  </si>
  <si>
    <t>06/03/2023</t>
  </si>
  <si>
    <t>09/05/2024</t>
  </si>
  <si>
    <t>11/04/2022</t>
  </si>
  <si>
    <t>29/12/2025</t>
  </si>
  <si>
    <t>22/02/2025</t>
  </si>
  <si>
    <t>02/01/2022</t>
  </si>
  <si>
    <t>19/10/2025</t>
  </si>
  <si>
    <t>03/09/2022</t>
  </si>
  <si>
    <t>11/01/2022</t>
  </si>
  <si>
    <t>15/04/2022</t>
  </si>
  <si>
    <t>29/04/2023</t>
  </si>
  <si>
    <t>17/02/2025</t>
  </si>
  <si>
    <t>09/12/2022</t>
  </si>
  <si>
    <t>27/12/2022</t>
  </si>
  <si>
    <t>05/06/2022</t>
  </si>
  <si>
    <t>04/03/2022</t>
  </si>
  <si>
    <t>18/08/2022</t>
  </si>
  <si>
    <t>22/05/2023</t>
  </si>
  <si>
    <t>12/02/2025</t>
  </si>
  <si>
    <t>22/03/2023</t>
  </si>
  <si>
    <t>07/05/2024</t>
  </si>
  <si>
    <t>06/08/2023</t>
  </si>
  <si>
    <t>07/05/2025</t>
  </si>
  <si>
    <t>30/04/2022</t>
  </si>
  <si>
    <t>22/11/2024</t>
  </si>
  <si>
    <t>02/06/2024</t>
  </si>
  <si>
    <t>10/01/2025</t>
  </si>
  <si>
    <t>12/08/2022</t>
  </si>
  <si>
    <t>22/05/2025</t>
  </si>
  <si>
    <t>13/05/2022</t>
  </si>
  <si>
    <t>25/09/2024</t>
  </si>
  <si>
    <t>02/11/2022</t>
  </si>
  <si>
    <t>06/10/2025</t>
  </si>
  <si>
    <t>09/06/2024</t>
  </si>
  <si>
    <t>15/04/2025</t>
  </si>
  <si>
    <t>13/10/2022</t>
  </si>
  <si>
    <t>28/10/2025</t>
  </si>
  <si>
    <t>17/12/2024</t>
  </si>
  <si>
    <t>23/04/2025</t>
  </si>
  <si>
    <t>08/07/2023</t>
  </si>
  <si>
    <t>05/04/2024</t>
  </si>
  <si>
    <t>04/06/2023</t>
  </si>
  <si>
    <t>05/11/2024</t>
  </si>
  <si>
    <t>04/09/2025</t>
  </si>
  <si>
    <t>07/06/2025</t>
  </si>
  <si>
    <t>25/05/2023</t>
  </si>
  <si>
    <t>24/11/2022</t>
  </si>
  <si>
    <t>11/10/2025</t>
  </si>
  <si>
    <t>22/12/2023</t>
  </si>
  <si>
    <t>16/02/2024</t>
  </si>
  <si>
    <t>05/05/2022</t>
  </si>
  <si>
    <t>27/11/2024</t>
  </si>
  <si>
    <t>24/02/2022</t>
  </si>
  <si>
    <t>02/12/2023</t>
  </si>
  <si>
    <t>22/06/2022</t>
  </si>
  <si>
    <t>01/07/2023</t>
  </si>
  <si>
    <t>24/08/2025</t>
  </si>
  <si>
    <t>25/02/2023</t>
  </si>
  <si>
    <t>25/06/2022</t>
  </si>
  <si>
    <t>20/12/2023</t>
  </si>
  <si>
    <t>30/08/2025</t>
  </si>
  <si>
    <t>14/01/2025</t>
  </si>
  <si>
    <t>28/06/2025</t>
  </si>
  <si>
    <t>24/11/2025</t>
  </si>
  <si>
    <t>13/08/2023</t>
  </si>
  <si>
    <t>10/05/2022</t>
  </si>
  <si>
    <t>11/06/2023</t>
  </si>
  <si>
    <t>18/01/2022</t>
  </si>
  <si>
    <t>23/12/2022</t>
  </si>
  <si>
    <t>14/10/2024</t>
  </si>
  <si>
    <t>14/09/2025</t>
  </si>
  <si>
    <t>07/01/2024</t>
  </si>
  <si>
    <t>23/12/2024</t>
  </si>
  <si>
    <t>24/09/2023</t>
  </si>
  <si>
    <t>09/06/2022</t>
  </si>
  <si>
    <t>04/12/2023</t>
  </si>
  <si>
    <t>04/08/2025</t>
  </si>
  <si>
    <t>13/03/2025</t>
  </si>
  <si>
    <t>22/01/2024</t>
  </si>
  <si>
    <t>13/01/2022</t>
  </si>
  <si>
    <t>01/01/2023</t>
  </si>
  <si>
    <t>03/08/2024</t>
  </si>
  <si>
    <t>19/12/2023</t>
  </si>
  <si>
    <t>17/05/2025</t>
  </si>
  <si>
    <t>11/02/2022</t>
  </si>
  <si>
    <t>09/04/2024</t>
  </si>
  <si>
    <t>18/03/2024</t>
  </si>
  <si>
    <t>17/06/2022</t>
  </si>
  <si>
    <t>27/05/2023</t>
  </si>
  <si>
    <t>19/02/2025</t>
  </si>
  <si>
    <t>01/06/2023</t>
  </si>
  <si>
    <t>13/02/2024</t>
  </si>
  <si>
    <t>05/04/2022</t>
  </si>
  <si>
    <t>18/11/2023</t>
  </si>
  <si>
    <t>02/06/2022</t>
  </si>
  <si>
    <t>16/12/2022</t>
  </si>
  <si>
    <t>13/10/2024</t>
  </si>
  <si>
    <t>28/10/2024</t>
  </si>
  <si>
    <t>06/11/2022</t>
  </si>
  <si>
    <t>06/06/2024</t>
  </si>
  <si>
    <t>24/08/2024</t>
  </si>
  <si>
    <t>24/10/2024</t>
  </si>
  <si>
    <t>12/04/2025</t>
  </si>
  <si>
    <t>09/12/2023</t>
  </si>
  <si>
    <t>15/05/2023</t>
  </si>
  <si>
    <t>29/08/2023</t>
  </si>
  <si>
    <t>01/08/2025</t>
  </si>
  <si>
    <t>01/08/2024</t>
  </si>
  <si>
    <t>11/05/2022</t>
  </si>
  <si>
    <t>04/09/2024</t>
  </si>
  <si>
    <t>28/06/2024</t>
  </si>
  <si>
    <t>11/04/2023</t>
  </si>
  <si>
    <t>07/07/2023</t>
  </si>
  <si>
    <t>22/09/2024</t>
  </si>
  <si>
    <t>29/09/2025</t>
  </si>
  <si>
    <t>26/12/2022</t>
  </si>
  <si>
    <t>10/09/2022</t>
  </si>
  <si>
    <t>26/07/2024</t>
  </si>
  <si>
    <t>12/01/2025</t>
  </si>
  <si>
    <t>30/10/2025</t>
  </si>
  <si>
    <t>11/08/2022</t>
  </si>
  <si>
    <t>03/09/2024</t>
  </si>
  <si>
    <t>10/12/2023</t>
  </si>
  <si>
    <t>05/06/2023</t>
  </si>
  <si>
    <t>20/03/2025</t>
  </si>
  <si>
    <t>04/02/2024</t>
  </si>
  <si>
    <t>02/08/2023</t>
  </si>
  <si>
    <t>05/12/2025</t>
  </si>
  <si>
    <t>09/04/2023</t>
  </si>
  <si>
    <t>01/04/2023</t>
  </si>
  <si>
    <t>11/06/2025</t>
  </si>
  <si>
    <t>12/06/2024</t>
  </si>
  <si>
    <t>03/08/2025</t>
  </si>
  <si>
    <t>13/04/2024</t>
  </si>
  <si>
    <t>10/04/2025</t>
  </si>
  <si>
    <t>26/11/2024</t>
  </si>
  <si>
    <t>26/09/2022</t>
  </si>
  <si>
    <t>07/05/2022</t>
  </si>
  <si>
    <t>17/01/2023</t>
  </si>
  <si>
    <t>08/09/2022</t>
  </si>
  <si>
    <t>25/09/2025</t>
  </si>
  <si>
    <t>16/06/2022</t>
  </si>
  <si>
    <t>22/08/2022</t>
  </si>
  <si>
    <t>13/04/2022</t>
  </si>
  <si>
    <t>28/01/2024</t>
  </si>
  <si>
    <t>25/12/2025</t>
  </si>
  <si>
    <t>01/02/2025</t>
  </si>
  <si>
    <t>07/10/2023</t>
  </si>
  <si>
    <t>20/02/2022</t>
  </si>
  <si>
    <t>31/03/2025</t>
  </si>
  <si>
    <t>06/11/2023</t>
  </si>
  <si>
    <t>14/01/2024</t>
  </si>
  <si>
    <t>28/04/2024</t>
  </si>
  <si>
    <t>12/07/2025</t>
  </si>
  <si>
    <t>18/06/2022</t>
  </si>
  <si>
    <t>30/08/2022</t>
  </si>
  <si>
    <t>05/10/2023</t>
  </si>
  <si>
    <t>12/09/2023</t>
  </si>
  <si>
    <t>02/11/2023</t>
  </si>
  <si>
    <t>07/08/2022</t>
  </si>
  <si>
    <t>18/03/2025</t>
  </si>
  <si>
    <t>29/06/2024</t>
  </si>
  <si>
    <t>25/10/2022</t>
  </si>
  <si>
    <t>28/12/2024</t>
  </si>
  <si>
    <t>01/06/2024</t>
  </si>
  <si>
    <t>19/03/2025</t>
  </si>
  <si>
    <t>10/03/2023</t>
  </si>
  <si>
    <t>14/01/2023</t>
  </si>
  <si>
    <t>24/05/2022</t>
  </si>
  <si>
    <t>19/10/2023</t>
  </si>
  <si>
    <t>30/08/2023</t>
  </si>
  <si>
    <t>29/07/2025</t>
  </si>
  <si>
    <t>28/01/2022</t>
  </si>
  <si>
    <t>03/10/2024</t>
  </si>
  <si>
    <t>31/08/2023</t>
  </si>
  <si>
    <t>23/08/2024</t>
  </si>
  <si>
    <t>27/12/2024</t>
  </si>
  <si>
    <t>20/08/2022</t>
  </si>
  <si>
    <t>16/08/2025</t>
  </si>
  <si>
    <t>23/02/2024</t>
  </si>
  <si>
    <t>17/09/2022</t>
  </si>
  <si>
    <t>21/12/2025</t>
  </si>
  <si>
    <t>09/02/2025</t>
  </si>
  <si>
    <t>08/05/2023</t>
  </si>
  <si>
    <t>04/11/2024</t>
  </si>
  <si>
    <t>28/01/2023</t>
  </si>
  <si>
    <t>20/07/2024</t>
  </si>
  <si>
    <t>03/06/2023</t>
  </si>
  <si>
    <t>30/05/2024</t>
  </si>
  <si>
    <t>27/11/2022</t>
  </si>
  <si>
    <t>25/11/2022</t>
  </si>
  <si>
    <t>08/07/2022</t>
  </si>
  <si>
    <t>19/12/2025</t>
  </si>
  <si>
    <t>27/12/2025</t>
  </si>
  <si>
    <t>01/09/2025</t>
  </si>
  <si>
    <t>10/01/2022</t>
  </si>
  <si>
    <t>09/08/2025</t>
  </si>
  <si>
    <t>17/09/2024</t>
  </si>
  <si>
    <t>21/03/2024</t>
  </si>
  <si>
    <t>17/12/2022</t>
  </si>
  <si>
    <t>13/12/2024</t>
  </si>
  <si>
    <t>21/05/2023</t>
  </si>
  <si>
    <t>30/05/2023</t>
  </si>
  <si>
    <t>16/01/2022</t>
  </si>
  <si>
    <t>24/03/2024</t>
  </si>
  <si>
    <t>31/01/2025</t>
  </si>
  <si>
    <t>02/11/2025</t>
  </si>
  <si>
    <t>16/09/2024</t>
  </si>
  <si>
    <t>27/08/2023</t>
  </si>
  <si>
    <t>12/03/2022</t>
  </si>
  <si>
    <t>01/12/2022</t>
  </si>
  <si>
    <t>30/06/2022</t>
  </si>
  <si>
    <t>15/11/2023</t>
  </si>
  <si>
    <t>21/10/2024</t>
  </si>
  <si>
    <t>11/07/2024</t>
  </si>
  <si>
    <t>02/12/2024</t>
  </si>
  <si>
    <t>29/12/2023</t>
  </si>
  <si>
    <t>09/09/2024</t>
  </si>
  <si>
    <t>27/04/2023</t>
  </si>
  <si>
    <t>08/08/2024</t>
  </si>
  <si>
    <t>05/07/2025</t>
  </si>
  <si>
    <t>25/11/2023</t>
  </si>
  <si>
    <t>12/04/2023</t>
  </si>
  <si>
    <t>01/08/2023</t>
  </si>
  <si>
    <t>13/10/2025</t>
  </si>
  <si>
    <t>11/05/2023</t>
  </si>
  <si>
    <t>31/01/2024</t>
  </si>
  <si>
    <t>29/03/2023</t>
  </si>
  <si>
    <t>17/11/2022</t>
  </si>
  <si>
    <t>13/11/2024</t>
  </si>
  <si>
    <t>15/11/2025</t>
  </si>
  <si>
    <t>06/06/2023</t>
  </si>
  <si>
    <t>26/01/2024</t>
  </si>
  <si>
    <t>10/07/2023</t>
  </si>
  <si>
    <t>18/02/2023</t>
  </si>
  <si>
    <t>14/05/2025</t>
  </si>
  <si>
    <t>29/07/2022</t>
  </si>
  <si>
    <t>13/06/2022</t>
  </si>
  <si>
    <t>27/09/2022</t>
  </si>
  <si>
    <t>17/07/2022</t>
  </si>
  <si>
    <t>24/01/2024</t>
  </si>
  <si>
    <t>02/07/2025</t>
  </si>
  <si>
    <t>23/08/2023</t>
  </si>
  <si>
    <t>14/04/2022</t>
  </si>
  <si>
    <t>10/03/2024</t>
  </si>
  <si>
    <t>20/09/2025</t>
  </si>
  <si>
    <t>06/08/2025</t>
  </si>
  <si>
    <t>21/03/2022</t>
  </si>
  <si>
    <t>21/04/2022</t>
  </si>
  <si>
    <t>26/03/2023</t>
  </si>
  <si>
    <t>12/10/2024</t>
  </si>
  <si>
    <t>04/09/2022</t>
  </si>
  <si>
    <t>28/08/2025</t>
  </si>
  <si>
    <t>25/03/2025</t>
  </si>
  <si>
    <t>27/10/2024</t>
  </si>
  <si>
    <t>05/07/2022</t>
  </si>
  <si>
    <t>12/08/2025</t>
  </si>
  <si>
    <t>18/11/2022</t>
  </si>
  <si>
    <t>09/07/2022</t>
  </si>
  <si>
    <t>31/03/2023</t>
  </si>
  <si>
    <t>09/10/2023</t>
  </si>
  <si>
    <t>25/11/2024</t>
  </si>
  <si>
    <t>30/04/2023</t>
  </si>
  <si>
    <t>22/08/2024</t>
  </si>
  <si>
    <t>27/11/2023</t>
  </si>
  <si>
    <t>14/08/2022</t>
  </si>
  <si>
    <t>14/12/2023</t>
  </si>
  <si>
    <t>26/12/2024</t>
  </si>
  <si>
    <t>02/11/2024</t>
  </si>
  <si>
    <t>05/02/2024</t>
  </si>
  <si>
    <t>25/08/2025</t>
  </si>
  <si>
    <t>29/06/2023</t>
  </si>
  <si>
    <t>09/02/2022</t>
  </si>
  <si>
    <t>20/04/2025</t>
  </si>
  <si>
    <t>02/02/2025</t>
  </si>
  <si>
    <t>14/05/2022</t>
  </si>
  <si>
    <t>17/07/2025</t>
  </si>
  <si>
    <t>26/05/2023</t>
  </si>
  <si>
    <t>28/03/2022</t>
  </si>
  <si>
    <t>27/01/2024</t>
  </si>
  <si>
    <t>14/09/2022</t>
  </si>
  <si>
    <t>04/07/2024</t>
  </si>
  <si>
    <t>01/03/2022</t>
  </si>
  <si>
    <t>19/05/2025</t>
  </si>
  <si>
    <t>30/07/2024</t>
  </si>
  <si>
    <t>26/03/2022</t>
  </si>
  <si>
    <t>24/07/2024</t>
  </si>
  <si>
    <t>06/12/2022</t>
  </si>
  <si>
    <t>04/04/2024</t>
  </si>
  <si>
    <t>01/07/2022</t>
  </si>
  <si>
    <t>02/07/2022</t>
  </si>
  <si>
    <t>01/01/2022</t>
  </si>
  <si>
    <t>26/05/2025</t>
  </si>
  <si>
    <t>25/04/2024</t>
  </si>
  <si>
    <t>27/10/2025</t>
  </si>
  <si>
    <t>23/03/2023</t>
  </si>
  <si>
    <t>24/11/2024</t>
  </si>
  <si>
    <t>19/05/2024</t>
  </si>
  <si>
    <t>08/02/2023</t>
  </si>
  <si>
    <t>06/04/2023</t>
  </si>
  <si>
    <t>01/02/2022</t>
  </si>
  <si>
    <t>01/07/2025</t>
  </si>
  <si>
    <t>04/01/2022</t>
  </si>
  <si>
    <t>27/02/2024</t>
  </si>
  <si>
    <t>07/04/2024</t>
  </si>
  <si>
    <t>02/10/2023</t>
  </si>
  <si>
    <t>17/08/2025</t>
  </si>
  <si>
    <t>28/05/2024</t>
  </si>
  <si>
    <t>05/08/2025</t>
  </si>
  <si>
    <t>27/06/2025</t>
  </si>
  <si>
    <t>02/04/2022</t>
  </si>
  <si>
    <t>25/01/2024</t>
  </si>
  <si>
    <t>09/04/2022</t>
  </si>
  <si>
    <t>27/04/2025</t>
  </si>
  <si>
    <t>11/10/2024</t>
  </si>
  <si>
    <t>20/04/2022</t>
  </si>
  <si>
    <t>20/08/2023</t>
  </si>
  <si>
    <t>26/12/2023</t>
  </si>
  <si>
    <t>05/02/2023</t>
  </si>
  <si>
    <t>16/01/2024</t>
  </si>
  <si>
    <t>12/01/2023</t>
  </si>
  <si>
    <t>06/05/2023</t>
  </si>
  <si>
    <t>02/09/2025</t>
  </si>
  <si>
    <t>25/02/2022</t>
  </si>
  <si>
    <t>12/10/2023</t>
  </si>
  <si>
    <t>12/05/2022</t>
  </si>
  <si>
    <t>06/07/2024</t>
  </si>
  <si>
    <t>27/06/2024</t>
  </si>
  <si>
    <t>24/07/2022</t>
  </si>
  <si>
    <t>31/07/2024</t>
  </si>
  <si>
    <t>29/06/2022</t>
  </si>
  <si>
    <t>16/11/2023</t>
  </si>
  <si>
    <t>25/04/2023</t>
  </si>
  <si>
    <t>17/10/2024</t>
  </si>
  <si>
    <t>29/04/2024</t>
  </si>
  <si>
    <t>20/12/2024</t>
  </si>
  <si>
    <t>13/12/2023</t>
  </si>
  <si>
    <t>04/06/2025</t>
  </si>
  <si>
    <t>02/02/2023</t>
  </si>
  <si>
    <t>13/03/2023</t>
  </si>
  <si>
    <t>17/01/2024</t>
  </si>
  <si>
    <t>15/12/2025</t>
  </si>
  <si>
    <t>19/06/2023</t>
  </si>
  <si>
    <t>25/10/2024</t>
  </si>
  <si>
    <t>09/01/2025</t>
  </si>
  <si>
    <t>04/10/2025</t>
  </si>
  <si>
    <t>19/07/2022</t>
  </si>
  <si>
    <t>13/07/2025</t>
  </si>
  <si>
    <t>14/01/2022</t>
  </si>
  <si>
    <t>27/01/2025</t>
  </si>
  <si>
    <t>04/07/2025</t>
  </si>
  <si>
    <t>20/12/2025</t>
  </si>
  <si>
    <t>02/09/2024</t>
  </si>
  <si>
    <t>01/10/2025</t>
  </si>
  <si>
    <t>12/11/2025</t>
  </si>
  <si>
    <t>16/04/2022</t>
  </si>
  <si>
    <t>13/08/2025</t>
  </si>
  <si>
    <t>11/07/2022</t>
  </si>
  <si>
    <t>03/05/2023</t>
  </si>
  <si>
    <t>30/09/2023</t>
  </si>
  <si>
    <t>08/09/2023</t>
  </si>
  <si>
    <t>16/10/2024</t>
  </si>
  <si>
    <t>01/01/2024</t>
  </si>
  <si>
    <t>10/08/2025</t>
  </si>
  <si>
    <t>03/10/2025</t>
  </si>
  <si>
    <t>22/03/2024</t>
  </si>
  <si>
    <t>24/01/2023</t>
  </si>
  <si>
    <t>11/08/2024</t>
  </si>
  <si>
    <t>23/06/2024</t>
  </si>
  <si>
    <t>24/12/2025</t>
  </si>
  <si>
    <t>04/06/2022</t>
  </si>
  <si>
    <t>23/09/2024</t>
  </si>
  <si>
    <t>20/05/2023</t>
  </si>
  <si>
    <t>16/12/2024</t>
  </si>
  <si>
    <t>19/02/2022</t>
  </si>
  <si>
    <t>26/11/2022</t>
  </si>
  <si>
    <t>28/07/2025</t>
  </si>
  <si>
    <t>25/06/2024</t>
  </si>
  <si>
    <t>20/10/2025</t>
  </si>
  <si>
    <t>04/08/2024</t>
  </si>
  <si>
    <t>25/07/2024</t>
  </si>
  <si>
    <t>22/12/2025</t>
  </si>
  <si>
    <t>24/09/2022</t>
  </si>
  <si>
    <t>23/01/2023</t>
  </si>
  <si>
    <t>27/05/2025</t>
  </si>
  <si>
    <t>15/09/2022</t>
  </si>
  <si>
    <t>07/10/2022</t>
  </si>
  <si>
    <t>09/06/2025</t>
  </si>
  <si>
    <t>20/10/2023</t>
  </si>
  <si>
    <t>26/01/2022</t>
  </si>
  <si>
    <t>20/07/2025</t>
  </si>
  <si>
    <t>09/10/2022</t>
  </si>
  <si>
    <t>27/11/2025</t>
  </si>
  <si>
    <t>12/01/2022</t>
  </si>
  <si>
    <t>21/01/2025</t>
  </si>
  <si>
    <t>18/09/2024</t>
  </si>
  <si>
    <t>24/10/2023</t>
  </si>
  <si>
    <t>08/10/2024</t>
  </si>
  <si>
    <t>23/05/2022</t>
  </si>
  <si>
    <t>08/12/2023</t>
  </si>
  <si>
    <t>31/12/2024</t>
  </si>
  <si>
    <t>23/12/2025</t>
  </si>
  <si>
    <t>24/05/2025</t>
  </si>
  <si>
    <t>02/08/2024</t>
  </si>
  <si>
    <t>20/09/2023</t>
  </si>
  <si>
    <t>12/06/2025</t>
  </si>
  <si>
    <t>07/02/2022</t>
  </si>
  <si>
    <t>11/04/2025</t>
  </si>
  <si>
    <t>18/01/2023</t>
  </si>
  <si>
    <t>07/09/2022</t>
  </si>
  <si>
    <t>13/01/2023</t>
  </si>
  <si>
    <t>22/11/2025</t>
  </si>
  <si>
    <t>20/02/2023</t>
  </si>
  <si>
    <t>16/04/2023</t>
  </si>
  <si>
    <t>17/11/2024</t>
  </si>
  <si>
    <t>18/09/2023</t>
  </si>
  <si>
    <t>11/12/2025</t>
  </si>
  <si>
    <t>07/12/2023</t>
  </si>
  <si>
    <t>25/08/2022</t>
  </si>
  <si>
    <t>03/03/2023</t>
  </si>
  <si>
    <t>07/07/2025</t>
  </si>
  <si>
    <t>02/05/2025</t>
  </si>
  <si>
    <t>06/03/2022</t>
  </si>
  <si>
    <t>24/04/2022</t>
  </si>
  <si>
    <t>18/08/2024</t>
  </si>
  <si>
    <t>30/07/2023</t>
  </si>
  <si>
    <t>03/11/2022</t>
  </si>
  <si>
    <t>18/10/2024</t>
  </si>
  <si>
    <t>25/07/2023</t>
  </si>
  <si>
    <t>14/07/2023</t>
  </si>
  <si>
    <t>09/09/2022</t>
  </si>
  <si>
    <t>08/08/2023</t>
  </si>
  <si>
    <t>25/01/2023</t>
  </si>
  <si>
    <t>28/08/2023</t>
  </si>
  <si>
    <t>16/05/2024</t>
  </si>
  <si>
    <t>09/02/2024</t>
  </si>
  <si>
    <t>20/10/2024</t>
  </si>
  <si>
    <t>12/06/2023</t>
  </si>
  <si>
    <t>13/01/2024</t>
  </si>
  <si>
    <t>13/02/2022</t>
  </si>
  <si>
    <t>15/06/2024</t>
  </si>
  <si>
    <t>16/07/2022</t>
  </si>
  <si>
    <t>20/07/2022</t>
  </si>
  <si>
    <t>11/03/2022</t>
  </si>
  <si>
    <t>23/03/2025</t>
  </si>
  <si>
    <t>16/12/2023</t>
  </si>
  <si>
    <t>19/02/2024</t>
  </si>
  <si>
    <t>28/12/2025</t>
  </si>
  <si>
    <t>01/11/2024</t>
  </si>
  <si>
    <t>20/05/2024</t>
  </si>
  <si>
    <t>20/12/2022</t>
  </si>
  <si>
    <t>24/10/2025</t>
  </si>
  <si>
    <t>05/08/2022</t>
  </si>
  <si>
    <t>15/02/2022</t>
  </si>
  <si>
    <t>30/04/2025</t>
  </si>
  <si>
    <t>26/08/2023</t>
  </si>
  <si>
    <t>30/10/2022</t>
  </si>
  <si>
    <t>16/03/2024</t>
  </si>
  <si>
    <t>04/09/2023</t>
  </si>
  <si>
    <t>30/03/2022</t>
  </si>
  <si>
    <t>06/11/2025</t>
  </si>
  <si>
    <t>03/04/2025</t>
  </si>
  <si>
    <t>01/10/2023</t>
  </si>
  <si>
    <t>06/07/2023</t>
  </si>
  <si>
    <t>01/11/2023</t>
  </si>
  <si>
    <t>13/09/2024</t>
  </si>
  <si>
    <t>26/06/2023</t>
  </si>
  <si>
    <t>12/03/2024</t>
  </si>
  <si>
    <t>12/11/2022</t>
  </si>
  <si>
    <t>07/10/2024</t>
  </si>
  <si>
    <t>29/05/2024</t>
  </si>
  <si>
    <t>31/05/2022</t>
  </si>
  <si>
    <t>17/03/2025</t>
  </si>
  <si>
    <t>14/02/2022</t>
  </si>
  <si>
    <t>09/11/2022</t>
  </si>
  <si>
    <t>24/12/2024</t>
  </si>
  <si>
    <t>10/10/2024</t>
  </si>
  <si>
    <t>03/10/2022</t>
  </si>
  <si>
    <t>21/07/2023</t>
  </si>
  <si>
    <t>16/06/2023</t>
  </si>
  <si>
    <t>05/10/2025</t>
  </si>
  <si>
    <t>30/12/2025</t>
  </si>
  <si>
    <t>21/10/2023</t>
  </si>
  <si>
    <t>04/08/2022</t>
  </si>
  <si>
    <t>25/08/2023</t>
  </si>
  <si>
    <t>16/09/2022</t>
  </si>
  <si>
    <t>06/01/2025</t>
  </si>
  <si>
    <t>16/12/2025</t>
  </si>
  <si>
    <t>03/04/2024</t>
  </si>
  <si>
    <t>25/09/2023</t>
  </si>
  <si>
    <t>22/12/2022</t>
  </si>
  <si>
    <t>27/03/2024</t>
  </si>
  <si>
    <t>07/06/2023</t>
  </si>
  <si>
    <t>07/08/2025</t>
  </si>
  <si>
    <t>15/01/2022</t>
  </si>
  <si>
    <t>28/07/2023</t>
  </si>
  <si>
    <t>11/09/2023</t>
  </si>
  <si>
    <t>23/08/2022</t>
  </si>
  <si>
    <t>04/02/2022</t>
  </si>
  <si>
    <t>07/04/2022</t>
  </si>
  <si>
    <t>29/05/2025</t>
  </si>
  <si>
    <t>07/03/2022</t>
  </si>
  <si>
    <t>08/06/2022</t>
  </si>
  <si>
    <t>04/04/2022</t>
  </si>
  <si>
    <t>26/08/2024</t>
  </si>
  <si>
    <t>21/05/2022</t>
  </si>
  <si>
    <t>09/09/2023</t>
  </si>
  <si>
    <t>20/01/2022</t>
  </si>
  <si>
    <t>07/04/2025</t>
  </si>
  <si>
    <t>22/10/2023</t>
  </si>
  <si>
    <t>02/03/2023</t>
  </si>
  <si>
    <t>07/02/2025</t>
  </si>
  <si>
    <t>09/07/2025</t>
  </si>
  <si>
    <t>03/07/2024</t>
  </si>
  <si>
    <t>07/09/2025</t>
  </si>
  <si>
    <t>08/05/2022</t>
  </si>
  <si>
    <t>07/07/2022</t>
  </si>
  <si>
    <t>03/12/2025</t>
  </si>
  <si>
    <t>10/08/2022</t>
  </si>
  <si>
    <t>26/03/2025</t>
  </si>
  <si>
    <t>06/01/2024</t>
  </si>
  <si>
    <t>17/04/2022</t>
  </si>
  <si>
    <t>12/05/2025</t>
  </si>
  <si>
    <t>21/08/2024</t>
  </si>
  <si>
    <t>03/12/2024</t>
  </si>
  <si>
    <t>26/02/2024</t>
  </si>
  <si>
    <t>15/01/2025</t>
  </si>
  <si>
    <t>26/09/2023</t>
  </si>
  <si>
    <t>02/09/2022</t>
  </si>
  <si>
    <t>19/09/2022</t>
  </si>
  <si>
    <t>11/10/2023</t>
  </si>
  <si>
    <t>12/07/2022</t>
  </si>
  <si>
    <t>23/06/2023</t>
  </si>
  <si>
    <t>13/03/2022</t>
  </si>
  <si>
    <t>11/08/2025</t>
  </si>
  <si>
    <t>12/11/2023</t>
  </si>
  <si>
    <t>28/02/2023</t>
  </si>
  <si>
    <t>16/08/2023</t>
  </si>
  <si>
    <t>07/06/2022</t>
  </si>
  <si>
    <t>25/06/2023</t>
  </si>
  <si>
    <t>22/02/2023</t>
  </si>
  <si>
    <t>26/05/2024</t>
  </si>
  <si>
    <t>22/01/2025</t>
  </si>
  <si>
    <t>08/12/2022</t>
  </si>
  <si>
    <t>02/04/2023</t>
  </si>
  <si>
    <t>24/12/2022</t>
  </si>
  <si>
    <t>18/08/2023</t>
  </si>
  <si>
    <t>20/03/2022</t>
  </si>
  <si>
    <t>01/09/2024</t>
  </si>
  <si>
    <t>23/01/2025</t>
  </si>
  <si>
    <t>13/07/2023</t>
  </si>
  <si>
    <t>23/10/2023</t>
  </si>
  <si>
    <t>02/12/2025</t>
  </si>
  <si>
    <t>12/06/2022</t>
  </si>
  <si>
    <t>09/01/2022</t>
  </si>
  <si>
    <t>15/12/2022</t>
  </si>
  <si>
    <t>23/11/2022</t>
  </si>
  <si>
    <t>06/02/2023</t>
  </si>
  <si>
    <t>07/05/2023</t>
  </si>
  <si>
    <t>08/04/2022</t>
  </si>
  <si>
    <t>18/02/2022</t>
  </si>
  <si>
    <t>27/04/2022</t>
  </si>
  <si>
    <t>27/03/2022</t>
  </si>
  <si>
    <t>09/10/2025</t>
  </si>
  <si>
    <t>15/01/2023</t>
  </si>
  <si>
    <t>26/11/2023</t>
  </si>
  <si>
    <t>18/07/2022</t>
  </si>
  <si>
    <t>10/12/2025</t>
  </si>
  <si>
    <t>19/04/2023</t>
  </si>
  <si>
    <t>09/05/2025</t>
  </si>
  <si>
    <t>25/02/2024</t>
  </si>
  <si>
    <t>13/05/2025</t>
  </si>
  <si>
    <t>21/08/2022</t>
  </si>
  <si>
    <t>10/06/2024</t>
  </si>
  <si>
    <t>04/02/2025</t>
  </si>
  <si>
    <t>07/10/2025</t>
  </si>
  <si>
    <t>30/06/2023</t>
  </si>
  <si>
    <t>21/09/2023</t>
  </si>
  <si>
    <t>10/05/2023</t>
  </si>
  <si>
    <t>04/05/2023</t>
  </si>
  <si>
    <t>26/07/2022</t>
  </si>
  <si>
    <t>17/01/2022</t>
  </si>
  <si>
    <t>26/04/2022</t>
  </si>
  <si>
    <t>23/12/2023</t>
  </si>
  <si>
    <t>18/01/2024</t>
  </si>
  <si>
    <t>16/05/2023</t>
  </si>
  <si>
    <t>17/05/2022</t>
  </si>
  <si>
    <t>11/06/2024</t>
  </si>
  <si>
    <t>03/12/2023</t>
  </si>
  <si>
    <t>21/10/2025</t>
  </si>
  <si>
    <t>08/02/2025</t>
  </si>
  <si>
    <t>21/05/2024</t>
  </si>
  <si>
    <t>07/08/2023</t>
  </si>
  <si>
    <t>11/03/2025</t>
  </si>
  <si>
    <t>12/12/2022</t>
  </si>
  <si>
    <t>26/02/2023</t>
  </si>
  <si>
    <t>05/05/2024</t>
  </si>
  <si>
    <t>16/11/2025</t>
  </si>
  <si>
    <t>20/09/2024</t>
  </si>
  <si>
    <t>28/09/2022</t>
  </si>
  <si>
    <t>03/06/2022</t>
  </si>
  <si>
    <t>18/08/2025</t>
  </si>
  <si>
    <t>02/08/2025</t>
  </si>
  <si>
    <t>19/11/2024</t>
  </si>
  <si>
    <t>19/09/2024</t>
  </si>
  <si>
    <t>25/08/2024</t>
  </si>
  <si>
    <t>02/01/2023</t>
  </si>
  <si>
    <t>22/01/2022</t>
  </si>
  <si>
    <t>13/08/2022</t>
  </si>
  <si>
    <t>23/10/2024</t>
  </si>
  <si>
    <t>15/09/2024</t>
  </si>
  <si>
    <t>23/03/2024</t>
  </si>
  <si>
    <t>10/08/2024</t>
  </si>
  <si>
    <t>14/06/2023</t>
  </si>
  <si>
    <t>08/07/2024</t>
  </si>
  <si>
    <t>10/10/2023</t>
  </si>
  <si>
    <t>13/05/2023</t>
  </si>
  <si>
    <t>20/02/2025</t>
  </si>
  <si>
    <t>03/01/2025</t>
  </si>
  <si>
    <t>12/10/2025</t>
  </si>
  <si>
    <t>26/12/2025</t>
  </si>
  <si>
    <t>30/11/2025</t>
  </si>
  <si>
    <t>30/10/2024</t>
  </si>
  <si>
    <t>28/10/2022</t>
  </si>
  <si>
    <t>29/09/2022</t>
  </si>
  <si>
    <t>29/01/2023</t>
  </si>
  <si>
    <t>04/11/2023</t>
  </si>
  <si>
    <t>18/06/2024</t>
  </si>
  <si>
    <t>03/07/2025</t>
  </si>
  <si>
    <t>21/09/2024</t>
  </si>
  <si>
    <t>30/12/2023</t>
  </si>
  <si>
    <t>19/02/2023</t>
  </si>
  <si>
    <t>19/07/2023</t>
  </si>
  <si>
    <t>23/07/2022</t>
  </si>
  <si>
    <t>15/02/2024</t>
  </si>
  <si>
    <t>13/09/2022</t>
  </si>
  <si>
    <t>23/05/2024</t>
  </si>
  <si>
    <t>20/05/2022</t>
  </si>
  <si>
    <t>20/01/2025</t>
  </si>
  <si>
    <t>30/12/2024</t>
  </si>
  <si>
    <t>15/02/2025</t>
  </si>
  <si>
    <t>15/03/2022</t>
  </si>
  <si>
    <t>14/03/2025</t>
  </si>
  <si>
    <t>28/02/2024</t>
  </si>
  <si>
    <t>14/08/2024</t>
  </si>
  <si>
    <t>07/06/2024</t>
  </si>
  <si>
    <t>08/04/2024</t>
  </si>
  <si>
    <t>04/01/2023</t>
  </si>
  <si>
    <t>02/10/2024</t>
  </si>
  <si>
    <t>Manila</t>
  </si>
  <si>
    <t>Pampanga</t>
  </si>
  <si>
    <t>Bulacan</t>
  </si>
  <si>
    <t>Pangasinan</t>
  </si>
  <si>
    <t>Service</t>
  </si>
  <si>
    <t>Hygiene</t>
  </si>
  <si>
    <t>Quality</t>
  </si>
  <si>
    <t>Availability</t>
  </si>
  <si>
    <t>Speed</t>
  </si>
  <si>
    <t>March</t>
  </si>
  <si>
    <t>August</t>
  </si>
  <si>
    <t>July</t>
  </si>
  <si>
    <t>May</t>
  </si>
  <si>
    <t>October</t>
  </si>
  <si>
    <t>December</t>
  </si>
  <si>
    <t>June</t>
  </si>
  <si>
    <t>January</t>
  </si>
  <si>
    <t>November</t>
  </si>
  <si>
    <t>April</t>
  </si>
  <si>
    <t>September</t>
  </si>
  <si>
    <t>February</t>
  </si>
  <si>
    <t>Row Labels</t>
  </si>
  <si>
    <t>Grand Total</t>
  </si>
  <si>
    <t>Sum of Sales</t>
  </si>
  <si>
    <t>Sum of Target Sales</t>
  </si>
  <si>
    <t>Sales vs Targets sales by month</t>
  </si>
  <si>
    <t>Sum of Customer Count</t>
  </si>
  <si>
    <t>no of customer by month</t>
  </si>
  <si>
    <t>Sum of Profit</t>
  </si>
  <si>
    <t>Sum of Score</t>
  </si>
  <si>
    <t>Sum of Cost</t>
  </si>
  <si>
    <t>Sum of Expenses</t>
  </si>
  <si>
    <t>Total sales</t>
  </si>
  <si>
    <t>Total profit</t>
  </si>
  <si>
    <t>Customer Satisfaction Score</t>
  </si>
  <si>
    <t>profit vs sales per branch</t>
  </si>
  <si>
    <t>Cost &amp; Expenses</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</si>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</sst>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_-* #,##0_-;\-* #,##0_-;_-* &quot;-&quot;??_-;_-@_-"/>
    <numFmt numFmtId="165" formatCode="0.0,&quot;k&quot;"/>
    <numFmt numFmtId="166" formatCode="&quot;₱&quot;#,##0"/>
    <numFmt numFmtId="167" formatCode="0&quot;k&quot;"/>
  </numFmts>
  <fonts count="4" x14ac:knownFonts="1">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bottom style="thin">
        <color auto="1"/>
      </bottom>
      <diagonal/>
    </border>
  </borders>
  <cellStyleXfs count="2">
    <xf numFmtId="0" fontId="0" fillId="0" borderId="0"/>
    <xf numFmtId="43" fontId="2" fillId="0" borderId="0" applyFont="0" applyFill="0" applyBorder="0" applyAlignment="0" applyProtection="0"/>
  </cellStyleXfs>
  <cellXfs count="13">
    <xf numFmtId="0" fontId="0" fillId="0" borderId="0" xfId="0"/>
    <xf numFmtId="0" fontId="1" fillId="0" borderId="1" xfId="0" applyFont="1" applyBorder="1" applyAlignment="1">
      <alignment horizontal="center" vertical="top"/>
    </xf>
    <xf numFmtId="164" fontId="1" fillId="0" borderId="1" xfId="1" applyNumberFormat="1" applyFont="1" applyBorder="1" applyAlignment="1">
      <alignment horizontal="center" vertical="top"/>
    </xf>
    <xf numFmtId="164" fontId="0" fillId="0" borderId="0" xfId="1" applyNumberFormat="1" applyFont="1"/>
    <xf numFmtId="0" fontId="0" fillId="0" borderId="0" xfId="0" pivotButton="1"/>
    <xf numFmtId="0" fontId="0" fillId="0" borderId="0" xfId="0" applyAlignment="1">
      <alignment horizontal="left"/>
    </xf>
    <xf numFmtId="164" fontId="0" fillId="0" borderId="0" xfId="0" applyNumberFormat="1"/>
    <xf numFmtId="0" fontId="3" fillId="0" borderId="0" xfId="0" applyFont="1"/>
    <xf numFmtId="165" fontId="0" fillId="0" borderId="0" xfId="0" applyNumberFormat="1"/>
    <xf numFmtId="166" fontId="0" fillId="0" borderId="0" xfId="0" applyNumberFormat="1"/>
    <xf numFmtId="166" fontId="0" fillId="0" borderId="0" xfId="1" applyNumberFormat="1" applyFont="1"/>
    <xf numFmtId="167" fontId="0" fillId="0" borderId="0" xfId="0" applyNumberFormat="1"/>
    <xf numFmtId="0" fontId="0" fillId="0" borderId="0" xfId="0" applyNumberFormat="1"/>
  </cellXfs>
  <cellStyles count="2">
    <cellStyle name="Comma" xfId="1" builtinId="3"/>
    <cellStyle name="Normal" xfId="0" builtinId="0"/>
  </cellStyles>
  <dxfs count="44">
    <dxf>
      <numFmt numFmtId="167" formatCode="0&quot;k&quot;"/>
    </dxf>
    <dxf>
      <numFmt numFmtId="165" formatCode="0.0,&quot;k&quot;"/>
    </dxf>
    <dxf>
      <numFmt numFmtId="166" formatCode="&quot;₱&quot;#,##0"/>
    </dxf>
    <dxf>
      <numFmt numFmtId="165" formatCode="0.0,&quot;k&quot;"/>
    </dxf>
    <dxf>
      <numFmt numFmtId="166" formatCode="&quot;₱&quot;#,##0"/>
    </dxf>
    <dxf>
      <numFmt numFmtId="166" formatCode="&quot;₱&quot;#,##0"/>
    </dxf>
    <dxf>
      <numFmt numFmtId="165" formatCode="0.0,&quot;k&quot;"/>
    </dxf>
    <dxf>
      <numFmt numFmtId="167" formatCode="0&quot;k&quot;"/>
    </dxf>
    <dxf>
      <numFmt numFmtId="165" formatCode="0.0,&quot;k&quot;"/>
    </dxf>
    <dxf>
      <numFmt numFmtId="166" formatCode="&quot;₱&quot;#,##0"/>
    </dxf>
    <dxf>
      <numFmt numFmtId="165" formatCode="0.0,&quot;k&quot;"/>
    </dxf>
    <dxf>
      <numFmt numFmtId="166" formatCode="&quot;₱&quot;#,##0"/>
    </dxf>
    <dxf>
      <numFmt numFmtId="166" formatCode="&quot;₱&quot;#,##0"/>
    </dxf>
    <dxf>
      <numFmt numFmtId="165" formatCode="0.0,&quot;k&quot;"/>
    </dxf>
    <dxf>
      <numFmt numFmtId="167" formatCode="0&quot;k&quot;"/>
    </dxf>
    <dxf>
      <numFmt numFmtId="165" formatCode="0.0,&quot;k&quot;"/>
    </dxf>
    <dxf>
      <numFmt numFmtId="166" formatCode="&quot;₱&quot;#,##0"/>
    </dxf>
    <dxf>
      <numFmt numFmtId="165" formatCode="0.0,&quot;k&quot;"/>
    </dxf>
    <dxf>
      <numFmt numFmtId="166" formatCode="&quot;₱&quot;#,##0"/>
    </dxf>
    <dxf>
      <numFmt numFmtId="166" formatCode="&quot;₱&quot;#,##0"/>
    </dxf>
    <dxf>
      <numFmt numFmtId="165" formatCode="0.0,&quot;k&quot;"/>
    </dxf>
    <dxf>
      <numFmt numFmtId="167" formatCode="0&quot;k&quot;"/>
    </dxf>
    <dxf>
      <numFmt numFmtId="165" formatCode="0.0,&quot;k&quot;"/>
    </dxf>
    <dxf>
      <numFmt numFmtId="166" formatCode="&quot;₱&quot;#,##0"/>
    </dxf>
    <dxf>
      <numFmt numFmtId="165" formatCode="0.0,&quot;k&quot;"/>
    </dxf>
    <dxf>
      <numFmt numFmtId="166" formatCode="&quot;₱&quot;#,##0"/>
    </dxf>
    <dxf>
      <numFmt numFmtId="166" formatCode="&quot;₱&quot;#,##0"/>
    </dxf>
    <dxf>
      <numFmt numFmtId="165" formatCode="0.0,&quot;k&quot;"/>
    </dxf>
    <dxf>
      <border diagonalUp="0" diagonalDown="0">
        <left/>
        <right/>
        <top/>
        <bottom/>
        <vertical/>
        <horizontal/>
      </border>
    </dxf>
    <dxf>
      <font>
        <b/>
        <i val="0"/>
        <sz val="12"/>
        <color theme="1"/>
      </font>
    </dxf>
    <dxf>
      <numFmt numFmtId="167" formatCode="0&quot;k&quot;"/>
    </dxf>
    <dxf>
      <numFmt numFmtId="165" formatCode="0.0,&quot;k&quot;"/>
    </dxf>
    <dxf>
      <numFmt numFmtId="166" formatCode="&quot;₱&quot;#,##0"/>
    </dxf>
    <dxf>
      <numFmt numFmtId="165" formatCode="0.0,&quot;k&quot;"/>
    </dxf>
    <dxf>
      <numFmt numFmtId="166" formatCode="&quot;₱&quot;#,##0"/>
    </dxf>
    <dxf>
      <numFmt numFmtId="166" formatCode="&quot;₱&quot;#,##0"/>
    </dxf>
    <dxf>
      <numFmt numFmtId="165" formatCode="0.0,&quot;k&quot;"/>
    </dxf>
    <dxf>
      <numFmt numFmtId="164" formatCode="_-* #,##0_-;\-* #,##0_-;_-* &quot;-&quot;??_-;_-@_-"/>
    </dxf>
    <dxf>
      <numFmt numFmtId="164" formatCode="_-* #,##0_-;\-* #,##0_-;_-* &quot;-&quot;??_-;_-@_-"/>
    </dxf>
    <dxf>
      <numFmt numFmtId="164" formatCode="_-* #,##0_-;\-* #,##0_-;_-* &quot;-&quot;??_-;_-@_-"/>
    </dxf>
    <dxf>
      <numFmt numFmtId="164" formatCode="_-* #,##0_-;\-* #,##0_-;_-* &quot;-&quot;??_-;_-@_-"/>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2" defaultTableStyle="TableStyleMedium9" defaultPivotStyle="PivotStyleLight16">
    <tableStyle name="Slicer Style 1" pivot="0" table="0" count="1" xr9:uid="{6B016D8B-E8C6-4E69-B836-8803E112775E}"/>
    <tableStyle name="Slicer Style 2" pivot="0" table="0" count="3" xr9:uid="{9311564E-3E57-445D-9FF1-0334EB20F7DA}">
      <tableStyleElement type="wholeTable" dxfId="28"/>
      <tableStyleElement type="headerRow" dxfId="29"/>
    </tableStyle>
  </tableStyles>
  <extLst>
    <ext xmlns:x14="http://schemas.microsoft.com/office/spreadsheetml/2009/9/main" uri="{46F421CA-312F-682f-3DD2-61675219B42D}">
      <x14:dxfs count="2">
        <dxf>
          <font>
            <b/>
            <i val="0"/>
            <sz val="12"/>
            <color theme="0"/>
          </font>
          <fill>
            <patternFill>
              <bgColor theme="3" tint="-0.24994659260841701"/>
            </patternFill>
          </fill>
          <border diagonalUp="0" diagonalDown="0">
            <left/>
            <right/>
            <top/>
            <bottom/>
            <vertical/>
            <horizontal/>
          </border>
        </dxf>
        <dxf>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[exempted latest.xlsm]Pivot Tables!PivotTable2</c:name>
    <c:fmtId val="10"/>
  </c:pivotSource>
  <c:chart>
    <c:title>
      <c:tx>
        <c:rich>
          <a:bodyPr rot="0" spcFirstLastPara="1" vertOverflow="ellipsis" vert="horz" wrap="square" anchor="ctr" anchorCtr="1"/>
          <a:lstStyle/>
          <a:p>
            <a:pPr>
              <a:defRPr sz="1400" b="0" i="0" u="none" strike="noStrike" kern="1200" spc="0" baseline="0">
                <a:solidFill>
                  <a:schemeClr val="tx2">
                    <a:lumMod val="75000"/>
                  </a:schemeClr>
                </a:solidFill>
                <a:latin typeface="Cambria Math" panose="02040503050406030204" pitchFamily="18" charset="0"/>
                <a:ea typeface="Cambria Math" panose="02040503050406030204" pitchFamily="18" charset="0"/>
                <a:cs typeface="+mn-cs"/>
              </a:defRPr>
            </a:pPr>
            <a:r>
              <a:rPr lang="en-PH" sz="2000" b="1">
                <a:solidFill>
                  <a:schemeClr val="tx2">
                    <a:lumMod val="75000"/>
                  </a:schemeClr>
                </a:solidFill>
                <a:latin typeface="Cambria Math" panose="02040503050406030204" pitchFamily="18" charset="0"/>
                <a:ea typeface="Cambria Math" panose="02040503050406030204" pitchFamily="18" charset="0"/>
              </a:rPr>
              <a:t>SALES</a:t>
            </a:r>
            <a:r>
              <a:rPr lang="en-PH" sz="2000" b="1" baseline="0">
                <a:solidFill>
                  <a:schemeClr val="tx2">
                    <a:lumMod val="75000"/>
                  </a:schemeClr>
                </a:solidFill>
                <a:latin typeface="Cambria Math" panose="02040503050406030204" pitchFamily="18" charset="0"/>
                <a:ea typeface="Cambria Math" panose="02040503050406030204" pitchFamily="18" charset="0"/>
              </a:rPr>
              <a:t> VS TARGET PER MONTH</a:t>
            </a:r>
            <a:endParaRPr lang="en-PH" sz="2000" b="1">
              <a:solidFill>
                <a:schemeClr val="tx2">
                  <a:lumMod val="75000"/>
                </a:schemeClr>
              </a:solidFill>
              <a:latin typeface="Cambria Math" panose="02040503050406030204" pitchFamily="18" charset="0"/>
              <a:ea typeface="Cambria Math" panose="02040503050406030204" pitchFamily="18" charset="0"/>
            </a:endParaRPr>
          </a:p>
        </c:rich>
      </c:tx>
      <c:layout>
        <c:manualLayout>
          <c:xMode val="edge"/>
          <c:yMode val="edge"/>
          <c:x val="0.16896566728291601"/>
          <c:y val="2.94294266459126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schemeClr>
              </a:solidFill>
              <a:latin typeface="Cambria Math" panose="02040503050406030204" pitchFamily="18" charset="0"/>
              <a:ea typeface="Cambria Math" panose="02040503050406030204" pitchFamily="18" charset="0"/>
              <a:cs typeface="+mn-cs"/>
            </a:defRPr>
          </a:pPr>
          <a:endParaRPr lang="en-P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6.5268068462606419E-3"/>
              <c:y val="-0.13453452180988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2.1756022820868985E-3"/>
              <c:y val="-0.1261261141967687"/>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8.7024091283475352E-3"/>
              <c:y val="-0.1513513370361224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2.1371527936794267E-3"/>
              <c:y val="-0.1618618465525197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012090181626816"/>
                  <c:h val="8.1687679961440496E-2"/>
                </c:manualLayout>
              </c15:layout>
            </c:ext>
          </c:extLst>
        </c:dLbl>
      </c:pivotFmt>
      <c:pivotFmt>
        <c:idx val="10"/>
        <c:dLbl>
          <c:idx val="0"/>
          <c:layout>
            <c:manualLayout>
              <c:x val="-1.0494368123250975E-3"/>
              <c:y val="-0.15975974464924031"/>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8.1628597623899693E-2"/>
                  <c:h val="7.7483476154881548E-2"/>
                </c:manualLayout>
              </c15:layout>
            </c:ext>
          </c:extLst>
        </c:dLbl>
      </c:pivotFmt>
      <c:pivotFmt>
        <c:idx val="11"/>
        <c:dLbl>
          <c:idx val="0"/>
          <c:layout>
            <c:manualLayout>
              <c:x val="2.1756022820867953E-3"/>
              <c:y val="-0.15345343893940189"/>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8.815540447016032E-2"/>
                  <c:h val="6.4870864735204675E-2"/>
                </c:manualLayout>
              </c15:layout>
            </c:ext>
          </c:extLst>
        </c:dLbl>
      </c:pivotFmt>
      <c:pivotFmt>
        <c:idx val="12"/>
        <c:dLbl>
          <c:idx val="0"/>
          <c:layout>
            <c:manualLayout>
              <c:x val="2.2139967845410625E-3"/>
              <c:y val="-0.1576576427459608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9.2583398039242454E-2"/>
                  <c:h val="8.1687679961440496E-2"/>
                </c:manualLayout>
              </c15:layout>
            </c:ext>
          </c:extLst>
        </c:dLbl>
      </c:pivotFmt>
      <c:pivotFmt>
        <c:idx val="13"/>
        <c:dLbl>
          <c:idx val="0"/>
          <c:layout>
            <c:manualLayout>
              <c:x val="1.1261968927679341E-3"/>
              <c:y val="-0.1177177065836507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9.4759002819869959E-2"/>
                  <c:h val="6.9075068541763637E-2"/>
                </c:manualLayout>
              </c15:layout>
            </c:ext>
          </c:extLst>
        </c:dLbl>
      </c:pivotFmt>
      <c:pivotFmt>
        <c:idx val="14"/>
        <c:dLbl>
          <c:idx val="0"/>
          <c:layout>
            <c:manualLayout>
              <c:x val="3.2634034231302424E-3"/>
              <c:y val="-0.16396394845579929"/>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9.0331006752247214E-2"/>
                  <c:h val="7.7483476154881548E-2"/>
                </c:manualLayout>
              </c15:layout>
            </c:ext>
          </c:extLst>
        </c:dLbl>
      </c:pivotFmt>
      <c:pivotFmt>
        <c:idx val="15"/>
        <c:dLbl>
          <c:idx val="0"/>
          <c:layout>
            <c:manualLayout>
              <c:x val="-2.175602282086879E-3"/>
              <c:y val="-0.14714713322956346"/>
            </c:manualLayout>
          </c:layout>
          <c:spPr>
            <a:noFill/>
            <a:ln>
              <a:noFill/>
            </a:ln>
            <a:effectLst/>
          </c:spPr>
          <c:txPr>
            <a:bodyPr rot="0" spcFirstLastPara="1" vertOverflow="ellipsis" horzOverflow="clip"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dLbl>
          <c:idx val="0"/>
          <c:layout>
            <c:manualLayout>
              <c:x val="1.1965812551477833E-2"/>
              <c:y val="-0.1471471332295634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8.1628597623899693E-2"/>
                  <c:h val="8.5891883767999458E-2"/>
                </c:manualLayout>
              </c15:layout>
            </c:ext>
          </c:extLst>
        </c:dLbl>
      </c:pivotFmt>
      <c:pivotFmt>
        <c:idx val="17"/>
        <c:dLbl>
          <c:idx val="0"/>
          <c:layout>
            <c:manualLayout>
              <c:x val="2.1756022820868391E-3"/>
              <c:y val="-0.1597597446492403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s>
    <c:plotArea>
      <c:layout>
        <c:manualLayout>
          <c:layoutTarget val="inner"/>
          <c:xMode val="edge"/>
          <c:yMode val="edge"/>
          <c:x val="3.5529127031875489E-2"/>
          <c:y val="4.6246241872148507E-2"/>
          <c:w val="0.85055119826006631"/>
          <c:h val="0.74970785749139457"/>
        </c:manualLayout>
      </c:layout>
      <c:barChart>
        <c:barDir val="col"/>
        <c:grouping val="stacked"/>
        <c:varyColors val="0"/>
        <c:ser>
          <c:idx val="0"/>
          <c:order val="0"/>
          <c:tx>
            <c:strRef>
              <c:f>'Pivot Tables'!$B$2</c:f>
              <c:strCache>
                <c:ptCount val="1"/>
                <c:pt idx="0">
                  <c:v>Sum of Sales</c:v>
                </c:pt>
              </c:strCache>
            </c:strRef>
          </c:tx>
          <c:spPr>
            <a:solidFill>
              <a:schemeClr val="tx2">
                <a:lumMod val="75000"/>
              </a:schemeClr>
            </a:solidFill>
            <a:ln>
              <a:noFill/>
            </a:ln>
            <a:effectLst/>
          </c:spPr>
          <c:invertIfNegative val="0"/>
          <c:cat>
            <c:strRef>
              <c:f>'Pivot Tables'!$A$3:$A$15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Tables'!$B$3:$B$15</c:f>
              <c:numCache>
                <c:formatCode>0.0,"k"</c:formatCode>
                <c:ptCount val="12"/>
                <c:pt idx="0">
                  <c:v>870577</c:v>
                </c:pt>
                <c:pt idx="1">
                  <c:v>815684</c:v>
                </c:pt>
                <c:pt idx="2">
                  <c:v>865106</c:v>
                </c:pt>
                <c:pt idx="3">
                  <c:v>814503</c:v>
                </c:pt>
                <c:pt idx="4">
                  <c:v>957682</c:v>
                </c:pt>
                <c:pt idx="5">
                  <c:v>889672</c:v>
                </c:pt>
                <c:pt idx="6">
                  <c:v>801471</c:v>
                </c:pt>
                <c:pt idx="7">
                  <c:v>853992</c:v>
                </c:pt>
                <c:pt idx="8">
                  <c:v>868171</c:v>
                </c:pt>
                <c:pt idx="9">
                  <c:v>880217</c:v>
                </c:pt>
                <c:pt idx="10">
                  <c:v>822837</c:v>
                </c:pt>
                <c:pt idx="11">
                  <c:v>804565</c:v>
                </c:pt>
              </c:numCache>
            </c:numRef>
          </c:val>
          <c:extLst>
            <c:ext xmlns:c16="http://schemas.microsoft.com/office/drawing/2014/chart" uri="{C3380CC4-5D6E-409C-BE32-E72D297353CC}">
              <c16:uniqueId val="{00000000-2ADA-406F-BD86-5F2FFCE7626C}"/>
            </c:ext>
          </c:extLst>
        </c:ser>
        <c:ser>
          <c:idx val="1"/>
          <c:order val="1"/>
          <c:tx>
            <c:strRef>
              <c:f>'Pivot Tables'!$C$2</c:f>
              <c:strCache>
                <c:ptCount val="1"/>
                <c:pt idx="0">
                  <c:v>Sum of Target Sales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Tables'!$A$3:$A$15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Tables'!$C$3:$C$15</c:f>
              <c:numCache>
                <c:formatCode>0.0,"k"</c:formatCode>
                <c:ptCount val="12"/>
                <c:pt idx="0">
                  <c:v>908720</c:v>
                </c:pt>
                <c:pt idx="1">
                  <c:v>788784</c:v>
                </c:pt>
                <c:pt idx="2">
                  <c:v>867256</c:v>
                </c:pt>
                <c:pt idx="3">
                  <c:v>899518</c:v>
                </c:pt>
                <c:pt idx="4">
                  <c:v>976257</c:v>
                </c:pt>
                <c:pt idx="5">
                  <c:v>872350</c:v>
                </c:pt>
                <c:pt idx="6">
                  <c:v>826426</c:v>
                </c:pt>
                <c:pt idx="7">
                  <c:v>862605</c:v>
                </c:pt>
                <c:pt idx="8">
                  <c:v>872811</c:v>
                </c:pt>
                <c:pt idx="9">
                  <c:v>930495</c:v>
                </c:pt>
                <c:pt idx="10">
                  <c:v>790033</c:v>
                </c:pt>
                <c:pt idx="11">
                  <c:v>859564</c:v>
                </c:pt>
              </c:numCache>
            </c:numRef>
          </c:val>
          <c:extLst>
            <c:ext xmlns:c16="http://schemas.microsoft.com/office/drawing/2014/chart" uri="{C3380CC4-5D6E-409C-BE32-E72D297353CC}">
              <c16:uniqueId val="{00000001-2ADA-406F-BD86-5F2FFCE7626C}"/>
            </c:ext>
          </c:extLst>
        </c:ser>
        <c:dLbls>
          <c:showLegendKey val="0"/>
          <c:showVal val="0"/>
          <c:showCatName val="0"/>
          <c:showSerName val="0"/>
          <c:showPercent val="0"/>
          <c:showBubbleSize val="0"/>
        </c:dLbls>
        <c:gapWidth val="84"/>
        <c:overlap val="100"/>
        <c:axId val="227809696"/>
        <c:axId val="227815936"/>
      </c:barChart>
      <c:catAx>
        <c:axId val="2278096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27815936"/>
        <c:crosses val="autoZero"/>
        <c:auto val="1"/>
        <c:lblAlgn val="ctr"/>
        <c:lblOffset val="100"/>
        <c:noMultiLvlLbl val="0"/>
      </c:catAx>
      <c:valAx>
        <c:axId val="227815936"/>
        <c:scaling>
          <c:orientation val="minMax"/>
        </c:scaling>
        <c:delete val="1"/>
        <c:axPos val="l"/>
        <c:numFmt formatCode="0.0,&quot;k&quot;" sourceLinked="1"/>
        <c:majorTickMark val="out"/>
        <c:minorTickMark val="none"/>
        <c:tickLblPos val="nextTo"/>
        <c:crossAx val="227809696"/>
        <c:crosses val="autoZero"/>
        <c:crossBetween val="between"/>
      </c:valAx>
      <c:spPr>
        <a:noFill/>
        <a:ln>
          <a:noFill/>
        </a:ln>
        <a:effectLst/>
      </c:spPr>
    </c:plotArea>
    <c:legend>
      <c:legendPos val="tr"/>
      <c:layout>
        <c:manualLayout>
          <c:xMode val="edge"/>
          <c:yMode val="edge"/>
          <c:x val="0.76658434197071534"/>
          <c:y val="2.7117114552305262E-2"/>
          <c:w val="0.22244172018117539"/>
          <c:h val="0.152048506580737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[exempted latest.xlsm]Pivot Tables!PivotTable3</c:name>
    <c:fmtId val="3"/>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b="1">
                <a:solidFill>
                  <a:schemeClr val="tx2">
                    <a:lumMod val="75000"/>
                  </a:schemeClr>
                </a:solidFill>
              </a:rPr>
              <a:t>CUSTOMER</a:t>
            </a:r>
            <a:r>
              <a:rPr lang="en-US" b="1" baseline="0">
                <a:solidFill>
                  <a:schemeClr val="tx2">
                    <a:lumMod val="75000"/>
                  </a:schemeClr>
                </a:solidFill>
              </a:rPr>
              <a:t> COUNT BY MONTH</a:t>
            </a:r>
            <a:endParaRPr lang="en-US" b="1">
              <a:solidFill>
                <a:schemeClr val="tx2">
                  <a:lumMod val="75000"/>
                </a:schemeClr>
              </a:solidFill>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14300" cap="rnd">
            <a:solidFill>
              <a:schemeClr val="tx2">
                <a:lumMod val="75000"/>
              </a:schemeClr>
            </a:solidFill>
            <a:round/>
          </a:ln>
          <a:effectLst/>
        </c:spPr>
        <c:marker>
          <c:symbol val="circle"/>
          <c:size val="8"/>
          <c:spPr>
            <a:solidFill>
              <a:schemeClr val="bg1">
                <a:lumMod val="95000"/>
              </a:schemeClr>
            </a:solidFill>
            <a:ln w="44450">
              <a:solidFill>
                <a:schemeClr val="bg1">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s>
    <c:plotArea>
      <c:layout>
        <c:manualLayout>
          <c:layoutTarget val="inner"/>
          <c:xMode val="edge"/>
          <c:yMode val="edge"/>
          <c:x val="3.4927101212101741E-2"/>
          <c:y val="0.17130405975389429"/>
          <c:w val="0.92844985197511887"/>
          <c:h val="0.60319559457059857"/>
        </c:manualLayout>
      </c:layout>
      <c:lineChart>
        <c:grouping val="stacked"/>
        <c:varyColors val="0"/>
        <c:ser>
          <c:idx val="0"/>
          <c:order val="0"/>
          <c:tx>
            <c:strRef>
              <c:f>'Pivot Tables'!$F$2</c:f>
              <c:strCache>
                <c:ptCount val="1"/>
                <c:pt idx="0">
                  <c:v>Total</c:v>
                </c:pt>
              </c:strCache>
            </c:strRef>
          </c:tx>
          <c:spPr>
            <a:ln w="114300" cap="rnd">
              <a:solidFill>
                <a:schemeClr val="tx2">
                  <a:lumMod val="75000"/>
                </a:schemeClr>
              </a:solidFill>
              <a:round/>
            </a:ln>
            <a:effectLst/>
          </c:spPr>
          <c:marker>
            <c:symbol val="circle"/>
            <c:size val="8"/>
            <c:spPr>
              <a:solidFill>
                <a:schemeClr val="bg1">
                  <a:lumMod val="95000"/>
                </a:schemeClr>
              </a:solidFill>
              <a:ln w="44450">
                <a:solidFill>
                  <a:schemeClr val="bg1">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Tables'!$E$3:$E$15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Tables'!$F$3:$F$15</c:f>
              <c:numCache>
                <c:formatCode>0.0,"k"</c:formatCode>
                <c:ptCount val="12"/>
                <c:pt idx="0">
                  <c:v>8627</c:v>
                </c:pt>
                <c:pt idx="1">
                  <c:v>7426</c:v>
                </c:pt>
                <c:pt idx="2">
                  <c:v>7919</c:v>
                </c:pt>
                <c:pt idx="3">
                  <c:v>8361</c:v>
                </c:pt>
                <c:pt idx="4">
                  <c:v>9601</c:v>
                </c:pt>
                <c:pt idx="5">
                  <c:v>9228</c:v>
                </c:pt>
                <c:pt idx="6">
                  <c:v>7112</c:v>
                </c:pt>
                <c:pt idx="7">
                  <c:v>8208</c:v>
                </c:pt>
                <c:pt idx="8">
                  <c:v>7709</c:v>
                </c:pt>
                <c:pt idx="9">
                  <c:v>8169</c:v>
                </c:pt>
                <c:pt idx="10">
                  <c:v>8620</c:v>
                </c:pt>
                <c:pt idx="11">
                  <c:v>8002</c:v>
                </c:pt>
              </c:numCache>
            </c:numRef>
          </c:val>
          <c:smooth val="0"/>
          <c:extLst>
            <c:ext xmlns:c16="http://schemas.microsoft.com/office/drawing/2014/chart" uri="{C3380CC4-5D6E-409C-BE32-E72D297353CC}">
              <c16:uniqueId val="{00000000-E411-4245-84AA-18677D47D214}"/>
            </c:ext>
          </c:extLst>
        </c:ser>
        <c:dLbls>
          <c:dLblPos val="t"/>
          <c:showLegendKey val="0"/>
          <c:showVal val="1"/>
          <c:showCatName val="0"/>
          <c:showSerName val="0"/>
          <c:showPercent val="0"/>
          <c:showBubbleSize val="0"/>
        </c:dLbls>
        <c:marker val="1"/>
        <c:smooth val="0"/>
        <c:axId val="1187404768"/>
        <c:axId val="1187426848"/>
      </c:lineChart>
      <c:catAx>
        <c:axId val="1187404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cap="none" spc="0" normalizeH="0" baseline="0">
                <a:solidFill>
                  <a:schemeClr val="tx1"/>
                </a:solidFill>
                <a:latin typeface="+mn-lt"/>
                <a:ea typeface="+mn-ea"/>
                <a:cs typeface="+mn-cs"/>
              </a:defRPr>
            </a:pPr>
            <a:endParaRPr lang="en-US"/>
          </a:p>
        </c:txPr>
        <c:crossAx val="1187426848"/>
        <c:crosses val="autoZero"/>
        <c:auto val="1"/>
        <c:lblAlgn val="ctr"/>
        <c:lblOffset val="100"/>
        <c:noMultiLvlLbl val="0"/>
      </c:catAx>
      <c:valAx>
        <c:axId val="1187426848"/>
        <c:scaling>
          <c:orientation val="minMax"/>
        </c:scaling>
        <c:delete val="1"/>
        <c:axPos val="l"/>
        <c:numFmt formatCode="0.0,&quot;k&quot;" sourceLinked="1"/>
        <c:majorTickMark val="out"/>
        <c:minorTickMark val="none"/>
        <c:tickLblPos val="nextTo"/>
        <c:crossAx val="118740476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[exempted latest.xlsm]Pivot Tables!PivotTable4</c:name>
    <c:fmtId val="2"/>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PH" sz="2000" b="1">
                <a:solidFill>
                  <a:schemeClr val="tx2">
                    <a:lumMod val="75000"/>
                  </a:schemeClr>
                </a:solidFill>
                <a:latin typeface="Cambria Math" panose="02040503050406030204" pitchFamily="18" charset="0"/>
                <a:ea typeface="Cambria Math" panose="02040503050406030204" pitchFamily="18" charset="0"/>
              </a:rPr>
              <a:t>PROFIT</a:t>
            </a:r>
            <a:r>
              <a:rPr lang="en-PH" sz="2000" b="1" baseline="0">
                <a:solidFill>
                  <a:schemeClr val="tx2">
                    <a:lumMod val="75000"/>
                  </a:schemeClr>
                </a:solidFill>
                <a:latin typeface="Cambria Math" panose="02040503050406030204" pitchFamily="18" charset="0"/>
                <a:ea typeface="Cambria Math" panose="02040503050406030204" pitchFamily="18" charset="0"/>
              </a:rPr>
              <a:t> VS SALES BY BRANCH</a:t>
            </a:r>
            <a:endParaRPr lang="en-PH" sz="2000" b="1">
              <a:solidFill>
                <a:schemeClr val="tx2">
                  <a:lumMod val="75000"/>
                </a:schemeClr>
              </a:solidFill>
              <a:latin typeface="Cambria Math" panose="02040503050406030204" pitchFamily="18" charset="0"/>
              <a:ea typeface="Cambria Math" panose="02040503050406030204" pitchFamily="18" charset="0"/>
            </a:endParaRPr>
          </a:p>
        </c:rich>
      </c:tx>
      <c:layout>
        <c:manualLayout>
          <c:xMode val="edge"/>
          <c:yMode val="edge"/>
          <c:x val="0.21051118995949811"/>
          <c:y val="3.4026819564081608E-2"/>
        </c:manualLayout>
      </c:layout>
      <c:overlay val="0"/>
      <c:spPr>
        <a:noFill/>
        <a:ln w="0">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75000"/>
            </a:schemeClr>
          </a:solidFill>
          <a:ln>
            <a:noFill/>
          </a:ln>
          <a:effectLst/>
        </c:spPr>
        <c:marker>
          <c:symbol val="none"/>
        </c:marker>
        <c:dLbl>
          <c:idx val="0"/>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Tables'!$I$2</c:f>
              <c:strCache>
                <c:ptCount val="1"/>
                <c:pt idx="0">
                  <c:v>Sum of Sales</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Tables'!$H$3:$H$7</c:f>
              <c:strCache>
                <c:ptCount val="4"/>
                <c:pt idx="0">
                  <c:v>Bulacan</c:v>
                </c:pt>
                <c:pt idx="1">
                  <c:v>Manila</c:v>
                </c:pt>
                <c:pt idx="2">
                  <c:v>Pampanga</c:v>
                </c:pt>
                <c:pt idx="3">
                  <c:v>Pangasinan</c:v>
                </c:pt>
              </c:strCache>
            </c:strRef>
          </c:cat>
          <c:val>
            <c:numRef>
              <c:f>'Pivot Tables'!$I$3:$I$7</c:f>
              <c:numCache>
                <c:formatCode>"₱"#,##0</c:formatCode>
                <c:ptCount val="4"/>
                <c:pt idx="0">
                  <c:v>2717305</c:v>
                </c:pt>
                <c:pt idx="1">
                  <c:v>2458970</c:v>
                </c:pt>
                <c:pt idx="2">
                  <c:v>2511811</c:v>
                </c:pt>
                <c:pt idx="3">
                  <c:v>2556391</c:v>
                </c:pt>
              </c:numCache>
            </c:numRef>
          </c:val>
          <c:extLst>
            <c:ext xmlns:c16="http://schemas.microsoft.com/office/drawing/2014/chart" uri="{C3380CC4-5D6E-409C-BE32-E72D297353CC}">
              <c16:uniqueId val="{00000000-F944-4770-A36B-D85FD85532EB}"/>
            </c:ext>
          </c:extLst>
        </c:ser>
        <c:ser>
          <c:idx val="1"/>
          <c:order val="1"/>
          <c:tx>
            <c:strRef>
              <c:f>'Pivot Tables'!$J$2</c:f>
              <c:strCache>
                <c:ptCount val="1"/>
                <c:pt idx="0">
                  <c:v>Sum of Profit</c:v>
                </c:pt>
              </c:strCache>
            </c:strRef>
          </c:tx>
          <c:spPr>
            <a:solidFill>
              <a:schemeClr val="bg1">
                <a:lumMod val="75000"/>
              </a:schemeClr>
            </a:solidFill>
            <a:ln>
              <a:noFill/>
            </a:ln>
            <a:effectLst/>
          </c:spPr>
          <c:invertIfNegative val="0"/>
          <c:dLbls>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Tables'!$H$3:$H$7</c:f>
              <c:strCache>
                <c:ptCount val="4"/>
                <c:pt idx="0">
                  <c:v>Bulacan</c:v>
                </c:pt>
                <c:pt idx="1">
                  <c:v>Manila</c:v>
                </c:pt>
                <c:pt idx="2">
                  <c:v>Pampanga</c:v>
                </c:pt>
                <c:pt idx="3">
                  <c:v>Pangasinan</c:v>
                </c:pt>
              </c:strCache>
            </c:strRef>
          </c:cat>
          <c:val>
            <c:numRef>
              <c:f>'Pivot Tables'!$J$3:$J$7</c:f>
              <c:numCache>
                <c:formatCode>"₱"#,##0</c:formatCode>
                <c:ptCount val="4"/>
                <c:pt idx="0">
                  <c:v>1068448</c:v>
                </c:pt>
                <c:pt idx="1">
                  <c:v>1030137</c:v>
                </c:pt>
                <c:pt idx="2">
                  <c:v>1014774</c:v>
                </c:pt>
                <c:pt idx="3">
                  <c:v>1090008</c:v>
                </c:pt>
              </c:numCache>
            </c:numRef>
          </c:val>
          <c:extLst>
            <c:ext xmlns:c16="http://schemas.microsoft.com/office/drawing/2014/chart" uri="{C3380CC4-5D6E-409C-BE32-E72D297353CC}">
              <c16:uniqueId val="{00000001-F944-4770-A36B-D85FD85532EB}"/>
            </c:ext>
          </c:extLst>
        </c:ser>
        <c:dLbls>
          <c:dLblPos val="ctr"/>
          <c:showLegendKey val="0"/>
          <c:showVal val="1"/>
          <c:showCatName val="0"/>
          <c:showSerName val="0"/>
          <c:showPercent val="0"/>
          <c:showBubbleSize val="0"/>
        </c:dLbls>
        <c:gapWidth val="160"/>
        <c:overlap val="100"/>
        <c:axId val="2104356592"/>
        <c:axId val="2104348912"/>
      </c:barChart>
      <c:catAx>
        <c:axId val="2104356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crossAx val="2104348912"/>
        <c:crosses val="autoZero"/>
        <c:auto val="1"/>
        <c:lblAlgn val="ctr"/>
        <c:lblOffset val="100"/>
        <c:noMultiLvlLbl val="0"/>
      </c:catAx>
      <c:valAx>
        <c:axId val="2104348912"/>
        <c:scaling>
          <c:orientation val="minMax"/>
        </c:scaling>
        <c:delete val="1"/>
        <c:axPos val="b"/>
        <c:numFmt formatCode="&quot;₱&quot;#,##0" sourceLinked="1"/>
        <c:majorTickMark val="none"/>
        <c:minorTickMark val="none"/>
        <c:tickLblPos val="nextTo"/>
        <c:crossAx val="210435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[exempted latest.xlsm]Pivot Tables!PivotTable8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2000" b="1">
                <a:solidFill>
                  <a:schemeClr val="tx2">
                    <a:lumMod val="75000"/>
                  </a:schemeClr>
                </a:solidFill>
                <a:latin typeface="Cambria Math" panose="02040503050406030204" pitchFamily="18" charset="0"/>
                <a:ea typeface="Cambria Math" panose="02040503050406030204" pitchFamily="18" charset="0"/>
              </a:rPr>
              <a:t>COST</a:t>
            </a:r>
            <a:r>
              <a:rPr lang="en-PH" sz="2000" b="1" baseline="0">
                <a:solidFill>
                  <a:schemeClr val="tx2">
                    <a:lumMod val="75000"/>
                  </a:schemeClr>
                </a:solidFill>
                <a:latin typeface="Cambria Math" panose="02040503050406030204" pitchFamily="18" charset="0"/>
                <a:ea typeface="Cambria Math" panose="02040503050406030204" pitchFamily="18" charset="0"/>
              </a:rPr>
              <a:t> &amp; EXPENSES  </a:t>
            </a:r>
            <a:endParaRPr lang="en-PH" b="1">
              <a:solidFill>
                <a:schemeClr val="tx2">
                  <a:lumMod val="75000"/>
                </a:schemeClr>
              </a:solidFill>
              <a:latin typeface="Cambria Math" panose="02040503050406030204" pitchFamily="18" charset="0"/>
              <a:ea typeface="Cambria Math" panose="02040503050406030204" pitchFamily="18" charset="0"/>
            </a:endParaRPr>
          </a:p>
        </c:rich>
      </c:tx>
      <c:layout>
        <c:manualLayout>
          <c:xMode val="edge"/>
          <c:yMode val="edge"/>
          <c:x val="0.14462407934429505"/>
          <c:y val="4.277889565561751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schemeClr>
          </a:solidFill>
          <a:ln>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s>
    <c:plotArea>
      <c:layout>
        <c:manualLayout>
          <c:layoutTarget val="inner"/>
          <c:xMode val="edge"/>
          <c:yMode val="edge"/>
          <c:x val="0.1167767249432804"/>
          <c:y val="9.5961598383089819E-2"/>
          <c:w val="0.87866137487833662"/>
          <c:h val="0.80152477999073646"/>
        </c:manualLayout>
      </c:layout>
      <c:barChart>
        <c:barDir val="col"/>
        <c:grouping val="clustered"/>
        <c:varyColors val="0"/>
        <c:ser>
          <c:idx val="0"/>
          <c:order val="0"/>
          <c:tx>
            <c:strRef>
              <c:f>'Pivot Tables'!$P$2</c:f>
              <c:strCache>
                <c:ptCount val="1"/>
                <c:pt idx="0">
                  <c:v>Sum of Cost</c:v>
                </c:pt>
              </c:strCache>
            </c:strRef>
          </c:tx>
          <c:spPr>
            <a:solidFill>
              <a:schemeClr val="tx2">
                <a:lumMod val="75000"/>
              </a:schemeClr>
            </a:solidFill>
            <a:ln>
              <a:solidFill>
                <a:schemeClr val="tx2">
                  <a:lumMod val="75000"/>
                </a:schemeClr>
              </a:solidFill>
            </a:ln>
            <a:effectLst/>
          </c:spPr>
          <c:invertIfNegative val="0"/>
          <c:cat>
            <c:strRef>
              <c:f>'Pivot Tables'!$O$3:$O$15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Tables'!$P$3:$P$15</c:f>
              <c:numCache>
                <c:formatCode>0.0,"k"</c:formatCode>
                <c:ptCount val="12"/>
                <c:pt idx="0">
                  <c:v>367507</c:v>
                </c:pt>
                <c:pt idx="1">
                  <c:v>340218</c:v>
                </c:pt>
                <c:pt idx="2">
                  <c:v>366188</c:v>
                </c:pt>
                <c:pt idx="3">
                  <c:v>394985</c:v>
                </c:pt>
                <c:pt idx="4">
                  <c:v>410671</c:v>
                </c:pt>
                <c:pt idx="5">
                  <c:v>338990</c:v>
                </c:pt>
                <c:pt idx="6">
                  <c:v>346384</c:v>
                </c:pt>
                <c:pt idx="7">
                  <c:v>400066</c:v>
                </c:pt>
                <c:pt idx="8">
                  <c:v>378404</c:v>
                </c:pt>
                <c:pt idx="9">
                  <c:v>368869</c:v>
                </c:pt>
                <c:pt idx="10">
                  <c:v>332214</c:v>
                </c:pt>
                <c:pt idx="11">
                  <c:v>339768</c:v>
                </c:pt>
              </c:numCache>
            </c:numRef>
          </c:val>
          <c:extLst>
            <c:ext xmlns:c16="http://schemas.microsoft.com/office/drawing/2014/chart" uri="{C3380CC4-5D6E-409C-BE32-E72D297353CC}">
              <c16:uniqueId val="{00000000-B61F-4845-97D4-1B5ECF8EB5A9}"/>
            </c:ext>
          </c:extLst>
        </c:ser>
        <c:ser>
          <c:idx val="1"/>
          <c:order val="1"/>
          <c:tx>
            <c:strRef>
              <c:f>'Pivot Tables'!$Q$2</c:f>
              <c:strCache>
                <c:ptCount val="1"/>
                <c:pt idx="0">
                  <c:v>Sum of Expenses</c:v>
                </c:pt>
              </c:strCache>
            </c:strRef>
          </c:tx>
          <c:spPr>
            <a:solidFill>
              <a:schemeClr val="bg1">
                <a:lumMod val="50000"/>
              </a:schemeClr>
            </a:solidFill>
            <a:ln>
              <a:noFill/>
            </a:ln>
            <a:effectLst/>
          </c:spPr>
          <c:invertIfNegative val="0"/>
          <c:cat>
            <c:strRef>
              <c:f>'Pivot Tables'!$O$3:$O$15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Tables'!$Q$3:$Q$15</c:f>
              <c:numCache>
                <c:formatCode>0.0,"k"</c:formatCode>
                <c:ptCount val="12"/>
                <c:pt idx="0">
                  <c:v>137120</c:v>
                </c:pt>
                <c:pt idx="1">
                  <c:v>127034</c:v>
                </c:pt>
                <c:pt idx="2">
                  <c:v>133356</c:v>
                </c:pt>
                <c:pt idx="3">
                  <c:v>142383</c:v>
                </c:pt>
                <c:pt idx="4">
                  <c:v>150687</c:v>
                </c:pt>
                <c:pt idx="5">
                  <c:v>144707</c:v>
                </c:pt>
                <c:pt idx="6">
                  <c:v>115623</c:v>
                </c:pt>
                <c:pt idx="7">
                  <c:v>138010</c:v>
                </c:pt>
                <c:pt idx="8">
                  <c:v>137315</c:v>
                </c:pt>
                <c:pt idx="9">
                  <c:v>161244</c:v>
                </c:pt>
                <c:pt idx="10">
                  <c:v>128537</c:v>
                </c:pt>
                <c:pt idx="11">
                  <c:v>140830</c:v>
                </c:pt>
              </c:numCache>
            </c:numRef>
          </c:val>
          <c:extLst>
            <c:ext xmlns:c16="http://schemas.microsoft.com/office/drawing/2014/chart" uri="{C3380CC4-5D6E-409C-BE32-E72D297353CC}">
              <c16:uniqueId val="{00000001-B61F-4845-97D4-1B5ECF8EB5A9}"/>
            </c:ext>
          </c:extLst>
        </c:ser>
        <c:dLbls>
          <c:showLegendKey val="0"/>
          <c:showVal val="0"/>
          <c:showCatName val="0"/>
          <c:showSerName val="0"/>
          <c:showPercent val="0"/>
          <c:showBubbleSize val="0"/>
        </c:dLbls>
        <c:gapWidth val="30"/>
        <c:overlap val="-27"/>
        <c:axId val="1279380160"/>
        <c:axId val="1279381600"/>
      </c:barChart>
      <c:catAx>
        <c:axId val="1279380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279381600"/>
        <c:crosses val="autoZero"/>
        <c:auto val="1"/>
        <c:lblAlgn val="ctr"/>
        <c:lblOffset val="100"/>
        <c:noMultiLvlLbl val="0"/>
      </c:catAx>
      <c:valAx>
        <c:axId val="1279381600"/>
        <c:scaling>
          <c:orientation val="minMax"/>
        </c:scaling>
        <c:delete val="0"/>
        <c:axPos val="l"/>
        <c:majorGridlines>
          <c:spPr>
            <a:ln w="9525" cap="flat" cmpd="sng" algn="ctr">
              <a:solidFill>
                <a:schemeClr val="bg1">
                  <a:lumMod val="50000"/>
                </a:schemeClr>
              </a:solidFill>
              <a:round/>
            </a:ln>
            <a:effectLst/>
          </c:spPr>
        </c:majorGridlines>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279380160"/>
        <c:crosses val="autoZero"/>
        <c:crossBetween val="between"/>
      </c:valAx>
      <c:spPr>
        <a:noFill/>
        <a:ln>
          <a:noFill/>
        </a:ln>
        <a:effectLst/>
      </c:spPr>
    </c:plotArea>
    <c:legend>
      <c:legendPos val="t"/>
      <c:layout>
        <c:manualLayout>
          <c:xMode val="edge"/>
          <c:yMode val="edge"/>
          <c:x val="0.69940467082951485"/>
          <c:y val="1.5567470914364608E-2"/>
          <c:w val="0.29642764917185943"/>
          <c:h val="5.5692168552193597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CUSTOMER SATISFACTION SCORE</cx:v>
        </cx:txData>
      </cx:tx>
      <cx:txPr>
        <a:bodyPr spcFirstLastPara="1" vertOverflow="ellipsis" horzOverflow="overflow" wrap="square" lIns="0" tIns="0" rIns="0" bIns="0" anchor="ctr" anchorCtr="1"/>
        <a:lstStyle/>
        <a:p>
          <a:pPr algn="ctr" rtl="0">
            <a:defRPr/>
          </a:pPr>
          <a:r>
            <a:rPr lang="en-US" sz="2000" b="1" i="0" u="none" strike="noStrike" baseline="0">
              <a:solidFill>
                <a:schemeClr val="tx2">
                  <a:lumMod val="75000"/>
                </a:schemeClr>
              </a:solidFill>
              <a:latin typeface="Cambria Math" panose="02040503050406030204" pitchFamily="18" charset="0"/>
              <a:ea typeface="Cambria Math" panose="02040503050406030204" pitchFamily="18" charset="0"/>
            </a:rPr>
            <a:t>CUSTOMER SATISFACTION SCORE</a:t>
          </a:r>
        </a:p>
      </cx:txPr>
    </cx:title>
    <cx:plotArea>
      <cx:plotAreaRegion>
        <cx:series layoutId="funnel" uniqueId="{B2214EDE-7A39-44BE-8BAE-C639A0540BD0}">
          <cx:spPr>
            <a:solidFill>
              <a:schemeClr val="tx2">
                <a:lumMod val="75000"/>
              </a:schemeClr>
            </a:solidFill>
          </cx:spPr>
          <cx:dataLabels>
            <cx:txPr>
              <a:bodyPr spcFirstLastPara="1" vertOverflow="ellipsis" horzOverflow="overflow" wrap="square" lIns="0" tIns="0" rIns="0" bIns="0" anchor="ctr" anchorCtr="1"/>
              <a:lstStyle/>
              <a:p>
                <a:pPr algn="ctr" rtl="0">
                  <a:defRPr sz="2000" b="1">
                    <a:solidFill>
                      <a:schemeClr val="bg1"/>
                    </a:solidFill>
                  </a:defRPr>
                </a:pPr>
                <a:endParaRPr lang="en-US" sz="2000" b="1" i="0" u="none" strike="noStrike" baseline="0">
                  <a:solidFill>
                    <a:schemeClr val="bg1"/>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600" b="1">
                <a:solidFill>
                  <a:schemeClr val="tx1"/>
                </a:solidFill>
              </a:defRPr>
            </a:pPr>
            <a:endParaRPr lang="en-US" sz="1600" b="1" i="0" u="none" strike="noStrike" baseline="0">
              <a:solidFill>
                <a:schemeClr val="tx1"/>
              </a:solidFill>
              <a:latin typeface="Calibri"/>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2.xml"/><Relationship Id="rId18" Type="http://schemas.openxmlformats.org/officeDocument/2006/relationships/image" Target="../media/image13.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1.xml"/><Relationship Id="rId17"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chart" Target="../charts/chart4.xml"/><Relationship Id="rId20" Type="http://schemas.openxmlformats.org/officeDocument/2006/relationships/image" Target="../media/image15.sv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chart" Target="../charts/chart3.xml"/><Relationship Id="rId10" Type="http://schemas.openxmlformats.org/officeDocument/2006/relationships/image" Target="../media/image10.png"/><Relationship Id="rId19" Type="http://schemas.openxmlformats.org/officeDocument/2006/relationships/image" Target="../media/image14.png"/><Relationship Id="rId4" Type="http://schemas.openxmlformats.org/officeDocument/2006/relationships/image" Target="../media/image4.png"/><Relationship Id="rId9" Type="http://schemas.openxmlformats.org/officeDocument/2006/relationships/image" Target="../media/image9.svg"/><Relationship Id="rId1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58509</xdr:colOff>
      <xdr:row>0</xdr:row>
      <xdr:rowOff>100692</xdr:rowOff>
    </xdr:from>
    <xdr:to>
      <xdr:col>28</xdr:col>
      <xdr:colOff>394607</xdr:colOff>
      <xdr:row>46</xdr:row>
      <xdr:rowOff>68036</xdr:rowOff>
    </xdr:to>
    <xdr:sp macro="" textlink="">
      <xdr:nvSpPr>
        <xdr:cNvPr id="2" name="Rectangle: Rounded Corners 1">
          <a:extLst>
            <a:ext uri="{FF2B5EF4-FFF2-40B4-BE49-F238E27FC236}">
              <a16:creationId xmlns:a16="http://schemas.microsoft.com/office/drawing/2014/main" id="{F8C75B04-E338-6294-3B0A-D83A4AE85949}"/>
            </a:ext>
          </a:extLst>
        </xdr:cNvPr>
        <xdr:cNvSpPr/>
      </xdr:nvSpPr>
      <xdr:spPr>
        <a:xfrm>
          <a:off x="58509" y="100692"/>
          <a:ext cx="17481098" cy="8573862"/>
        </a:xfrm>
        <a:prstGeom prst="roundRect">
          <a:avLst>
            <a:gd name="adj" fmla="val 3403"/>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108857</xdr:colOff>
      <xdr:row>1</xdr:row>
      <xdr:rowOff>0</xdr:rowOff>
    </xdr:from>
    <xdr:to>
      <xdr:col>2</xdr:col>
      <xdr:colOff>571500</xdr:colOff>
      <xdr:row>7</xdr:row>
      <xdr:rowOff>27215</xdr:rowOff>
    </xdr:to>
    <xdr:sp macro="" textlink="">
      <xdr:nvSpPr>
        <xdr:cNvPr id="4" name="Rectangle: Rounded Corners 3">
          <a:extLst>
            <a:ext uri="{FF2B5EF4-FFF2-40B4-BE49-F238E27FC236}">
              <a16:creationId xmlns:a16="http://schemas.microsoft.com/office/drawing/2014/main" id="{0A438F61-39E9-0D99-6FC1-4DA68732A0BD}"/>
            </a:ext>
          </a:extLst>
        </xdr:cNvPr>
        <xdr:cNvSpPr/>
      </xdr:nvSpPr>
      <xdr:spPr>
        <a:xfrm>
          <a:off x="108857" y="190500"/>
          <a:ext cx="1687286" cy="117021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598714</xdr:colOff>
      <xdr:row>1</xdr:row>
      <xdr:rowOff>0</xdr:rowOff>
    </xdr:from>
    <xdr:to>
      <xdr:col>28</xdr:col>
      <xdr:colOff>367393</xdr:colOff>
      <xdr:row>7</xdr:row>
      <xdr:rowOff>27000</xdr:rowOff>
    </xdr:to>
    <xdr:sp macro="" textlink="">
      <xdr:nvSpPr>
        <xdr:cNvPr id="5" name="Rectangle: Rounded Corners 4">
          <a:extLst>
            <a:ext uri="{FF2B5EF4-FFF2-40B4-BE49-F238E27FC236}">
              <a16:creationId xmlns:a16="http://schemas.microsoft.com/office/drawing/2014/main" id="{FABB2B71-F45B-42F9-BA83-00D42C5CC217}"/>
            </a:ext>
          </a:extLst>
        </xdr:cNvPr>
        <xdr:cNvSpPr/>
      </xdr:nvSpPr>
      <xdr:spPr>
        <a:xfrm>
          <a:off x="1823357" y="190500"/>
          <a:ext cx="15689036" cy="1170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111578</xdr:colOff>
      <xdr:row>7</xdr:row>
      <xdr:rowOff>81643</xdr:rowOff>
    </xdr:from>
    <xdr:to>
      <xdr:col>2</xdr:col>
      <xdr:colOff>574221</xdr:colOff>
      <xdr:row>16</xdr:row>
      <xdr:rowOff>136071</xdr:rowOff>
    </xdr:to>
    <xdr:sp macro="" textlink="">
      <xdr:nvSpPr>
        <xdr:cNvPr id="6" name="Rectangle: Rounded Corners 5">
          <a:extLst>
            <a:ext uri="{FF2B5EF4-FFF2-40B4-BE49-F238E27FC236}">
              <a16:creationId xmlns:a16="http://schemas.microsoft.com/office/drawing/2014/main" id="{83AB1005-6EBE-4350-B3BA-C0282512CE75}"/>
            </a:ext>
          </a:extLst>
        </xdr:cNvPr>
        <xdr:cNvSpPr/>
      </xdr:nvSpPr>
      <xdr:spPr>
        <a:xfrm>
          <a:off x="111578" y="1415143"/>
          <a:ext cx="1687286" cy="176892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111578</xdr:colOff>
      <xdr:row>16</xdr:row>
      <xdr:rowOff>179615</xdr:rowOff>
    </xdr:from>
    <xdr:to>
      <xdr:col>2</xdr:col>
      <xdr:colOff>574221</xdr:colOff>
      <xdr:row>46</xdr:row>
      <xdr:rowOff>40821</xdr:rowOff>
    </xdr:to>
    <xdr:sp macro="" textlink="">
      <xdr:nvSpPr>
        <xdr:cNvPr id="7" name="Rectangle: Rounded Corners 6">
          <a:extLst>
            <a:ext uri="{FF2B5EF4-FFF2-40B4-BE49-F238E27FC236}">
              <a16:creationId xmlns:a16="http://schemas.microsoft.com/office/drawing/2014/main" id="{DC6EC23A-9F1A-46E3-BDBE-E1E28C77EFF4}"/>
            </a:ext>
          </a:extLst>
        </xdr:cNvPr>
        <xdr:cNvSpPr/>
      </xdr:nvSpPr>
      <xdr:spPr>
        <a:xfrm>
          <a:off x="111578" y="3227615"/>
          <a:ext cx="1687286" cy="5576206"/>
        </a:xfrm>
        <a:prstGeom prst="roundRect">
          <a:avLst>
            <a:gd name="adj" fmla="val 1344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6800</xdr:colOff>
      <xdr:row>7</xdr:row>
      <xdr:rowOff>76198</xdr:rowOff>
    </xdr:from>
    <xdr:to>
      <xdr:col>9</xdr:col>
      <xdr:colOff>220871</xdr:colOff>
      <xdr:row>13</xdr:row>
      <xdr:rowOff>130626</xdr:rowOff>
    </xdr:to>
    <xdr:sp macro="" textlink="">
      <xdr:nvSpPr>
        <xdr:cNvPr id="21" name="Rectangle: Rounded Corners 20">
          <a:extLst>
            <a:ext uri="{FF2B5EF4-FFF2-40B4-BE49-F238E27FC236}">
              <a16:creationId xmlns:a16="http://schemas.microsoft.com/office/drawing/2014/main" id="{1B039CDF-3B7F-4B0B-80DF-1504A85AA288}"/>
            </a:ext>
          </a:extLst>
        </xdr:cNvPr>
        <xdr:cNvSpPr/>
      </xdr:nvSpPr>
      <xdr:spPr>
        <a:xfrm>
          <a:off x="1843764" y="1409698"/>
          <a:ext cx="3888000" cy="1197428"/>
        </a:xfrm>
        <a:prstGeom prst="roundRect">
          <a:avLst>
            <a:gd name="adj" fmla="val 200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9</xdr:col>
      <xdr:colOff>254449</xdr:colOff>
      <xdr:row>7</xdr:row>
      <xdr:rowOff>78920</xdr:rowOff>
    </xdr:from>
    <xdr:to>
      <xdr:col>15</xdr:col>
      <xdr:colOff>468521</xdr:colOff>
      <xdr:row>13</xdr:row>
      <xdr:rowOff>133348</xdr:rowOff>
    </xdr:to>
    <xdr:sp macro="" textlink="">
      <xdr:nvSpPr>
        <xdr:cNvPr id="25" name="Rectangle: Rounded Corners 24">
          <a:extLst>
            <a:ext uri="{FF2B5EF4-FFF2-40B4-BE49-F238E27FC236}">
              <a16:creationId xmlns:a16="http://schemas.microsoft.com/office/drawing/2014/main" id="{5DE71545-FF90-4E28-8844-D13FDB581FD5}"/>
            </a:ext>
          </a:extLst>
        </xdr:cNvPr>
        <xdr:cNvSpPr/>
      </xdr:nvSpPr>
      <xdr:spPr>
        <a:xfrm>
          <a:off x="5765342" y="1412420"/>
          <a:ext cx="3888000" cy="1197428"/>
        </a:xfrm>
        <a:prstGeom prst="roundRect">
          <a:avLst>
            <a:gd name="adj" fmla="val 200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15</xdr:col>
      <xdr:colOff>507545</xdr:colOff>
      <xdr:row>7</xdr:row>
      <xdr:rowOff>87084</xdr:rowOff>
    </xdr:from>
    <xdr:to>
      <xdr:col>22</xdr:col>
      <xdr:colOff>109295</xdr:colOff>
      <xdr:row>13</xdr:row>
      <xdr:rowOff>141512</xdr:rowOff>
    </xdr:to>
    <xdr:sp macro="" textlink="">
      <xdr:nvSpPr>
        <xdr:cNvPr id="26" name="Rectangle: Rounded Corners 25">
          <a:extLst>
            <a:ext uri="{FF2B5EF4-FFF2-40B4-BE49-F238E27FC236}">
              <a16:creationId xmlns:a16="http://schemas.microsoft.com/office/drawing/2014/main" id="{26975B83-D825-44A6-A654-F1478E3CE7B5}"/>
            </a:ext>
          </a:extLst>
        </xdr:cNvPr>
        <xdr:cNvSpPr/>
      </xdr:nvSpPr>
      <xdr:spPr>
        <a:xfrm>
          <a:off x="9692366" y="1420584"/>
          <a:ext cx="3888000" cy="1197428"/>
        </a:xfrm>
        <a:prstGeom prst="roundRect">
          <a:avLst>
            <a:gd name="adj" fmla="val 200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22</xdr:col>
      <xdr:colOff>156480</xdr:colOff>
      <xdr:row>7</xdr:row>
      <xdr:rowOff>76198</xdr:rowOff>
    </xdr:from>
    <xdr:to>
      <xdr:col>28</xdr:col>
      <xdr:colOff>370551</xdr:colOff>
      <xdr:row>13</xdr:row>
      <xdr:rowOff>130626</xdr:rowOff>
    </xdr:to>
    <xdr:sp macro="" textlink="">
      <xdr:nvSpPr>
        <xdr:cNvPr id="27" name="Rectangle: Rounded Corners 26">
          <a:extLst>
            <a:ext uri="{FF2B5EF4-FFF2-40B4-BE49-F238E27FC236}">
              <a16:creationId xmlns:a16="http://schemas.microsoft.com/office/drawing/2014/main" id="{A72D545D-90C9-427D-97BB-1266B3A5467E}"/>
            </a:ext>
          </a:extLst>
        </xdr:cNvPr>
        <xdr:cNvSpPr/>
      </xdr:nvSpPr>
      <xdr:spPr>
        <a:xfrm>
          <a:off x="13627551" y="1409698"/>
          <a:ext cx="3888000" cy="1197428"/>
        </a:xfrm>
        <a:prstGeom prst="roundRect">
          <a:avLst>
            <a:gd name="adj" fmla="val 200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2</xdr:col>
      <xdr:colOff>608234</xdr:colOff>
      <xdr:row>13</xdr:row>
      <xdr:rowOff>160563</xdr:rowOff>
    </xdr:from>
    <xdr:to>
      <xdr:col>12</xdr:col>
      <xdr:colOff>317020</xdr:colOff>
      <xdr:row>29</xdr:row>
      <xdr:rowOff>172563</xdr:rowOff>
    </xdr:to>
    <xdr:sp macro="" textlink="">
      <xdr:nvSpPr>
        <xdr:cNvPr id="28" name="Rectangle: Rounded Corners 27">
          <a:extLst>
            <a:ext uri="{FF2B5EF4-FFF2-40B4-BE49-F238E27FC236}">
              <a16:creationId xmlns:a16="http://schemas.microsoft.com/office/drawing/2014/main" id="{3CEB73BB-998E-441C-B3A6-982A7A388B74}"/>
            </a:ext>
          </a:extLst>
        </xdr:cNvPr>
        <xdr:cNvSpPr/>
      </xdr:nvSpPr>
      <xdr:spPr>
        <a:xfrm>
          <a:off x="1832877" y="2637063"/>
          <a:ext cx="5832000" cy="3060000"/>
        </a:xfrm>
        <a:prstGeom prst="roundRect">
          <a:avLst>
            <a:gd name="adj" fmla="val 81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3</xdr:col>
      <xdr:colOff>4080</xdr:colOff>
      <xdr:row>30</xdr:row>
      <xdr:rowOff>23812</xdr:rowOff>
    </xdr:from>
    <xdr:to>
      <xdr:col>12</xdr:col>
      <xdr:colOff>325187</xdr:colOff>
      <xdr:row>46</xdr:row>
      <xdr:rowOff>44656</xdr:rowOff>
    </xdr:to>
    <xdr:sp macro="" textlink="">
      <xdr:nvSpPr>
        <xdr:cNvPr id="30" name="Rectangle: Rounded Corners 29">
          <a:extLst>
            <a:ext uri="{FF2B5EF4-FFF2-40B4-BE49-F238E27FC236}">
              <a16:creationId xmlns:a16="http://schemas.microsoft.com/office/drawing/2014/main" id="{E63765DB-FEB6-41CE-A41D-098D107A722B}"/>
            </a:ext>
          </a:extLst>
        </xdr:cNvPr>
        <xdr:cNvSpPr/>
      </xdr:nvSpPr>
      <xdr:spPr>
        <a:xfrm>
          <a:off x="1825736" y="5738812"/>
          <a:ext cx="5786076" cy="3068844"/>
        </a:xfrm>
        <a:prstGeom prst="roundRect">
          <a:avLst>
            <a:gd name="adj" fmla="val 81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12</xdr:col>
      <xdr:colOff>344260</xdr:colOff>
      <xdr:row>13</xdr:row>
      <xdr:rowOff>168728</xdr:rowOff>
    </xdr:from>
    <xdr:to>
      <xdr:col>22</xdr:col>
      <xdr:colOff>53046</xdr:colOff>
      <xdr:row>29</xdr:row>
      <xdr:rowOff>180728</xdr:rowOff>
    </xdr:to>
    <xdr:sp macro="" textlink="">
      <xdr:nvSpPr>
        <xdr:cNvPr id="31" name="Rectangle: Rounded Corners 30">
          <a:extLst>
            <a:ext uri="{FF2B5EF4-FFF2-40B4-BE49-F238E27FC236}">
              <a16:creationId xmlns:a16="http://schemas.microsoft.com/office/drawing/2014/main" id="{507D7404-2D03-457B-B3C4-0923037FE2CD}"/>
            </a:ext>
          </a:extLst>
        </xdr:cNvPr>
        <xdr:cNvSpPr/>
      </xdr:nvSpPr>
      <xdr:spPr>
        <a:xfrm>
          <a:off x="7692117" y="2645228"/>
          <a:ext cx="5832000" cy="3060000"/>
        </a:xfrm>
        <a:prstGeom prst="roundRect">
          <a:avLst>
            <a:gd name="adj" fmla="val 81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12</xdr:col>
      <xdr:colOff>357866</xdr:colOff>
      <xdr:row>30</xdr:row>
      <xdr:rowOff>32657</xdr:rowOff>
    </xdr:from>
    <xdr:to>
      <xdr:col>22</xdr:col>
      <xdr:colOff>66652</xdr:colOff>
      <xdr:row>46</xdr:row>
      <xdr:rowOff>44657</xdr:rowOff>
    </xdr:to>
    <xdr:sp macro="" textlink="">
      <xdr:nvSpPr>
        <xdr:cNvPr id="32" name="Rectangle: Rounded Corners 31">
          <a:extLst>
            <a:ext uri="{FF2B5EF4-FFF2-40B4-BE49-F238E27FC236}">
              <a16:creationId xmlns:a16="http://schemas.microsoft.com/office/drawing/2014/main" id="{FFBB7923-788C-44F6-AB0D-418B8F7A4A1E}"/>
            </a:ext>
          </a:extLst>
        </xdr:cNvPr>
        <xdr:cNvSpPr/>
      </xdr:nvSpPr>
      <xdr:spPr>
        <a:xfrm>
          <a:off x="7705723" y="5747657"/>
          <a:ext cx="5832000" cy="3060000"/>
        </a:xfrm>
        <a:prstGeom prst="roundRect">
          <a:avLst>
            <a:gd name="adj" fmla="val 81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xdr:from>
      <xdr:col>22</xdr:col>
      <xdr:colOff>95250</xdr:colOff>
      <xdr:row>13</xdr:row>
      <xdr:rowOff>163286</xdr:rowOff>
    </xdr:from>
    <xdr:to>
      <xdr:col>28</xdr:col>
      <xdr:colOff>373272</xdr:colOff>
      <xdr:row>46</xdr:row>
      <xdr:rowOff>40821</xdr:rowOff>
    </xdr:to>
    <xdr:sp macro="" textlink="">
      <xdr:nvSpPr>
        <xdr:cNvPr id="33" name="Rectangle: Rounded Corners 32">
          <a:extLst>
            <a:ext uri="{FF2B5EF4-FFF2-40B4-BE49-F238E27FC236}">
              <a16:creationId xmlns:a16="http://schemas.microsoft.com/office/drawing/2014/main" id="{0D235405-3815-4822-8851-2C0150B06451}"/>
            </a:ext>
          </a:extLst>
        </xdr:cNvPr>
        <xdr:cNvSpPr/>
      </xdr:nvSpPr>
      <xdr:spPr>
        <a:xfrm>
          <a:off x="13566321" y="2639786"/>
          <a:ext cx="3951951" cy="6164035"/>
        </a:xfrm>
        <a:prstGeom prst="roundRect">
          <a:avLst>
            <a:gd name="adj" fmla="val 798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v</a:t>
          </a:r>
        </a:p>
      </xdr:txBody>
    </xdr:sp>
    <xdr:clientData/>
  </xdr:twoCellAnchor>
  <xdr:twoCellAnchor editAs="oneCell">
    <xdr:from>
      <xdr:col>0</xdr:col>
      <xdr:colOff>217714</xdr:colOff>
      <xdr:row>1</xdr:row>
      <xdr:rowOff>81644</xdr:rowOff>
    </xdr:from>
    <xdr:to>
      <xdr:col>2</xdr:col>
      <xdr:colOff>489857</xdr:colOff>
      <xdr:row>6</xdr:row>
      <xdr:rowOff>127002</xdr:rowOff>
    </xdr:to>
    <xdr:pic>
      <xdr:nvPicPr>
        <xdr:cNvPr id="35" name="Picture 34">
          <a:extLst>
            <a:ext uri="{FF2B5EF4-FFF2-40B4-BE49-F238E27FC236}">
              <a16:creationId xmlns:a16="http://schemas.microsoft.com/office/drawing/2014/main" id="{A67BD412-71D8-9873-0800-D4B5387AAF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714" y="272144"/>
          <a:ext cx="1496786" cy="997858"/>
        </a:xfrm>
        <a:prstGeom prst="roundRect">
          <a:avLst>
            <a:gd name="adj" fmla="val 11111"/>
          </a:avLst>
        </a:prstGeom>
        <a:ln w="190500" cap="rnd">
          <a:solidFill>
            <a:srgbClr val="C8C6BD"/>
          </a:solidFill>
          <a:prstDash val="solid"/>
        </a:ln>
        <a:effectLst>
          <a:outerShdw blurRad="101600" dist="50800" dir="7200000" algn="tl" rotWithShape="0">
            <a:srgbClr val="000000">
              <a:alpha val="45000"/>
            </a:srgbClr>
          </a:outerShdw>
        </a:effectLst>
        <a:scene3d>
          <a:camera prst="perspectiveFront" fov="5400000"/>
          <a:lightRig rig="threePt" dir="t">
            <a:rot lat="0" lon="0" rev="19200000"/>
          </a:lightRig>
        </a:scene3d>
        <a:sp3d extrusionH="25400">
          <a:bevelT w="304800" h="152400" prst="hardEdge"/>
          <a:extrusionClr>
            <a:srgbClr val="FFFFFF"/>
          </a:extrusionClr>
        </a:sp3d>
      </xdr:spPr>
    </xdr:pic>
    <xdr:clientData/>
  </xdr:twoCellAnchor>
  <xdr:twoCellAnchor>
    <xdr:from>
      <xdr:col>9</xdr:col>
      <xdr:colOff>68036</xdr:colOff>
      <xdr:row>1</xdr:row>
      <xdr:rowOff>95248</xdr:rowOff>
    </xdr:from>
    <xdr:to>
      <xdr:col>23</xdr:col>
      <xdr:colOff>603249</xdr:colOff>
      <xdr:row>6</xdr:row>
      <xdr:rowOff>149678</xdr:rowOff>
    </xdr:to>
    <xdr:sp macro="" textlink="">
      <xdr:nvSpPr>
        <xdr:cNvPr id="36" name="TextBox 35">
          <a:extLst>
            <a:ext uri="{FF2B5EF4-FFF2-40B4-BE49-F238E27FC236}">
              <a16:creationId xmlns:a16="http://schemas.microsoft.com/office/drawing/2014/main" id="{F40447A3-411E-409B-C295-583645751A0A}"/>
            </a:ext>
          </a:extLst>
        </xdr:cNvPr>
        <xdr:cNvSpPr txBox="1"/>
      </xdr:nvSpPr>
      <xdr:spPr>
        <a:xfrm>
          <a:off x="5578929" y="285748"/>
          <a:ext cx="9107713" cy="1006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5400" b="1">
              <a:solidFill>
                <a:schemeClr val="tx2">
                  <a:lumMod val="75000"/>
                </a:schemeClr>
              </a:solidFill>
              <a:latin typeface="Cambria Math" panose="02040503050406030204" pitchFamily="18" charset="0"/>
              <a:ea typeface="Cambria Math" panose="02040503050406030204" pitchFamily="18" charset="0"/>
            </a:rPr>
            <a:t>SALES</a:t>
          </a:r>
          <a:r>
            <a:rPr lang="en-PH" sz="5400" b="1" baseline="0">
              <a:solidFill>
                <a:schemeClr val="tx2">
                  <a:lumMod val="75000"/>
                </a:schemeClr>
              </a:solidFill>
              <a:latin typeface="Cambria Math" panose="02040503050406030204" pitchFamily="18" charset="0"/>
              <a:ea typeface="Cambria Math" panose="02040503050406030204" pitchFamily="18" charset="0"/>
            </a:rPr>
            <a:t> &amp; PROFIT DASHBOARD</a:t>
          </a:r>
          <a:endParaRPr lang="en-PH" sz="5400" b="1">
            <a:solidFill>
              <a:schemeClr val="tx2">
                <a:lumMod val="75000"/>
              </a:schemeClr>
            </a:solidFill>
            <a:latin typeface="Cambria Math" panose="02040503050406030204" pitchFamily="18" charset="0"/>
            <a:ea typeface="Cambria Math" panose="02040503050406030204" pitchFamily="18" charset="0"/>
          </a:endParaRPr>
        </a:p>
      </xdr:txBody>
    </xdr:sp>
    <xdr:clientData/>
  </xdr:twoCellAnchor>
  <xdr:twoCellAnchor editAs="oneCell">
    <xdr:from>
      <xdr:col>7</xdr:col>
      <xdr:colOff>326571</xdr:colOff>
      <xdr:row>1</xdr:row>
      <xdr:rowOff>163285</xdr:rowOff>
    </xdr:from>
    <xdr:to>
      <xdr:col>9</xdr:col>
      <xdr:colOff>16328</xdr:colOff>
      <xdr:row>6</xdr:row>
      <xdr:rowOff>125185</xdr:rowOff>
    </xdr:to>
    <xdr:pic>
      <xdr:nvPicPr>
        <xdr:cNvPr id="38" name="Graphic 37" descr="Bar graph with upward trend with solid fill">
          <a:extLst>
            <a:ext uri="{FF2B5EF4-FFF2-40B4-BE49-F238E27FC236}">
              <a16:creationId xmlns:a16="http://schemas.microsoft.com/office/drawing/2014/main" id="{29C9A898-27EE-AA15-D245-B4CDDBBCC41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612821" y="353785"/>
          <a:ext cx="914400" cy="914400"/>
        </a:xfrm>
        <a:prstGeom prst="rect">
          <a:avLst/>
        </a:prstGeom>
      </xdr:spPr>
    </xdr:pic>
    <xdr:clientData/>
  </xdr:twoCellAnchor>
  <xdr:twoCellAnchor editAs="oneCell">
    <xdr:from>
      <xdr:col>3</xdr:col>
      <xdr:colOff>163285</xdr:colOff>
      <xdr:row>8</xdr:row>
      <xdr:rowOff>27215</xdr:rowOff>
    </xdr:from>
    <xdr:to>
      <xdr:col>4</xdr:col>
      <xdr:colOff>465363</xdr:colOff>
      <xdr:row>12</xdr:row>
      <xdr:rowOff>179615</xdr:rowOff>
    </xdr:to>
    <xdr:pic>
      <xdr:nvPicPr>
        <xdr:cNvPr id="40" name="Graphic 39" descr="Coins with solid fill">
          <a:extLst>
            <a:ext uri="{FF2B5EF4-FFF2-40B4-BE49-F238E27FC236}">
              <a16:creationId xmlns:a16="http://schemas.microsoft.com/office/drawing/2014/main" id="{BE39C0C8-9ABC-7F24-B3F4-9C4F6218BFB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000249" y="1551215"/>
          <a:ext cx="914400" cy="914400"/>
        </a:xfrm>
        <a:prstGeom prst="rect">
          <a:avLst/>
        </a:prstGeom>
      </xdr:spPr>
    </xdr:pic>
    <xdr:clientData/>
  </xdr:twoCellAnchor>
  <xdr:twoCellAnchor editAs="oneCell">
    <xdr:from>
      <xdr:col>9</xdr:col>
      <xdr:colOff>408213</xdr:colOff>
      <xdr:row>7</xdr:row>
      <xdr:rowOff>176893</xdr:rowOff>
    </xdr:from>
    <xdr:to>
      <xdr:col>11</xdr:col>
      <xdr:colOff>97970</xdr:colOff>
      <xdr:row>12</xdr:row>
      <xdr:rowOff>138793</xdr:rowOff>
    </xdr:to>
    <xdr:pic>
      <xdr:nvPicPr>
        <xdr:cNvPr id="42" name="Graphic 41" descr="Money with solid fill">
          <a:extLst>
            <a:ext uri="{FF2B5EF4-FFF2-40B4-BE49-F238E27FC236}">
              <a16:creationId xmlns:a16="http://schemas.microsoft.com/office/drawing/2014/main" id="{CA3CBCCB-6068-E831-74B3-9E7283FDC25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919106" y="1510393"/>
          <a:ext cx="914400" cy="914400"/>
        </a:xfrm>
        <a:prstGeom prst="rect">
          <a:avLst/>
        </a:prstGeom>
      </xdr:spPr>
    </xdr:pic>
    <xdr:clientData/>
  </xdr:twoCellAnchor>
  <xdr:twoCellAnchor>
    <xdr:from>
      <xdr:col>4</xdr:col>
      <xdr:colOff>544286</xdr:colOff>
      <xdr:row>8</xdr:row>
      <xdr:rowOff>54429</xdr:rowOff>
    </xdr:from>
    <xdr:to>
      <xdr:col>8</xdr:col>
      <xdr:colOff>340179</xdr:colOff>
      <xdr:row>10</xdr:row>
      <xdr:rowOff>13607</xdr:rowOff>
    </xdr:to>
    <xdr:sp macro="" textlink="">
      <xdr:nvSpPr>
        <xdr:cNvPr id="43" name="TextBox 42">
          <a:extLst>
            <a:ext uri="{FF2B5EF4-FFF2-40B4-BE49-F238E27FC236}">
              <a16:creationId xmlns:a16="http://schemas.microsoft.com/office/drawing/2014/main" id="{441E1BDF-C952-865A-8D9B-F78441D4A491}"/>
            </a:ext>
          </a:extLst>
        </xdr:cNvPr>
        <xdr:cNvSpPr txBox="1"/>
      </xdr:nvSpPr>
      <xdr:spPr>
        <a:xfrm>
          <a:off x="2993572" y="1578429"/>
          <a:ext cx="2245178" cy="3401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000" b="1">
              <a:solidFill>
                <a:schemeClr val="tx2">
                  <a:lumMod val="75000"/>
                </a:schemeClr>
              </a:solidFill>
              <a:latin typeface="Cambria Math" panose="02040503050406030204" pitchFamily="18" charset="0"/>
              <a:ea typeface="Cambria Math" panose="02040503050406030204" pitchFamily="18" charset="0"/>
            </a:rPr>
            <a:t>SALES</a:t>
          </a:r>
        </a:p>
      </xdr:txBody>
    </xdr:sp>
    <xdr:clientData/>
  </xdr:twoCellAnchor>
  <xdr:twoCellAnchor>
    <xdr:from>
      <xdr:col>11</xdr:col>
      <xdr:colOff>179615</xdr:colOff>
      <xdr:row>8</xdr:row>
      <xdr:rowOff>43543</xdr:rowOff>
    </xdr:from>
    <xdr:to>
      <xdr:col>14</xdr:col>
      <xdr:colOff>587829</xdr:colOff>
      <xdr:row>10</xdr:row>
      <xdr:rowOff>2721</xdr:rowOff>
    </xdr:to>
    <xdr:sp macro="" textlink="">
      <xdr:nvSpPr>
        <xdr:cNvPr id="44" name="TextBox 43">
          <a:extLst>
            <a:ext uri="{FF2B5EF4-FFF2-40B4-BE49-F238E27FC236}">
              <a16:creationId xmlns:a16="http://schemas.microsoft.com/office/drawing/2014/main" id="{717D7C1B-F536-4E6F-BC11-AD458FE59D87}"/>
            </a:ext>
          </a:extLst>
        </xdr:cNvPr>
        <xdr:cNvSpPr txBox="1"/>
      </xdr:nvSpPr>
      <xdr:spPr>
        <a:xfrm>
          <a:off x="6915151" y="1567543"/>
          <a:ext cx="2245178" cy="3401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000" b="1">
              <a:solidFill>
                <a:schemeClr val="tx2">
                  <a:lumMod val="75000"/>
                </a:schemeClr>
              </a:solidFill>
              <a:latin typeface="Cambria Math" panose="02040503050406030204" pitchFamily="18" charset="0"/>
              <a:ea typeface="Cambria Math" panose="02040503050406030204" pitchFamily="18" charset="0"/>
            </a:rPr>
            <a:t>PROFIT</a:t>
          </a:r>
        </a:p>
      </xdr:txBody>
    </xdr:sp>
    <xdr:clientData/>
  </xdr:twoCellAnchor>
  <xdr:twoCellAnchor>
    <xdr:from>
      <xdr:col>4</xdr:col>
      <xdr:colOff>605514</xdr:colOff>
      <xdr:row>10</xdr:row>
      <xdr:rowOff>54429</xdr:rowOff>
    </xdr:from>
    <xdr:to>
      <xdr:col>8</xdr:col>
      <xdr:colOff>401407</xdr:colOff>
      <xdr:row>12</xdr:row>
      <xdr:rowOff>117019</xdr:rowOff>
    </xdr:to>
    <xdr:sp macro="" textlink="'Pivot Tables'!U5">
      <xdr:nvSpPr>
        <xdr:cNvPr id="45" name="TextBox 44">
          <a:extLst>
            <a:ext uri="{FF2B5EF4-FFF2-40B4-BE49-F238E27FC236}">
              <a16:creationId xmlns:a16="http://schemas.microsoft.com/office/drawing/2014/main" id="{1738EDF8-30DE-42D7-B0AE-27F787D8EB62}"/>
            </a:ext>
          </a:extLst>
        </xdr:cNvPr>
        <xdr:cNvSpPr txBox="1"/>
      </xdr:nvSpPr>
      <xdr:spPr>
        <a:xfrm>
          <a:off x="3054800" y="1959429"/>
          <a:ext cx="2245178" cy="443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2E605A-5C44-4B72-A7DB-4BC68806EB9B}" type="TxLink">
            <a:rPr lang="en-US" sz="2500" b="1" i="0" u="none" strike="noStrike">
              <a:solidFill>
                <a:schemeClr val="tx2">
                  <a:lumMod val="75000"/>
                </a:schemeClr>
              </a:solidFill>
              <a:latin typeface="Calibri"/>
              <a:ea typeface="Calibri"/>
              <a:cs typeface="Calibri"/>
            </a:rPr>
            <a:pPr algn="ctr"/>
            <a:t>₱10,244,477</a:t>
          </a:fld>
          <a:endParaRPr lang="en-PH" sz="2500" b="1">
            <a:solidFill>
              <a:schemeClr val="tx2">
                <a:lumMod val="75000"/>
              </a:schemeClr>
            </a:solidFill>
          </a:endParaRPr>
        </a:p>
      </xdr:txBody>
    </xdr:sp>
    <xdr:clientData/>
  </xdr:twoCellAnchor>
  <xdr:twoCellAnchor>
    <xdr:from>
      <xdr:col>11</xdr:col>
      <xdr:colOff>172807</xdr:colOff>
      <xdr:row>10</xdr:row>
      <xdr:rowOff>29936</xdr:rowOff>
    </xdr:from>
    <xdr:to>
      <xdr:col>14</xdr:col>
      <xdr:colOff>581021</xdr:colOff>
      <xdr:row>12</xdr:row>
      <xdr:rowOff>92526</xdr:rowOff>
    </xdr:to>
    <xdr:sp macro="" textlink="'Pivot Tables'!V5">
      <xdr:nvSpPr>
        <xdr:cNvPr id="46" name="TextBox 45">
          <a:extLst>
            <a:ext uri="{FF2B5EF4-FFF2-40B4-BE49-F238E27FC236}">
              <a16:creationId xmlns:a16="http://schemas.microsoft.com/office/drawing/2014/main" id="{FAB0BCD5-6EBD-4F6A-8E70-7630F69397F3}"/>
            </a:ext>
          </a:extLst>
        </xdr:cNvPr>
        <xdr:cNvSpPr txBox="1"/>
      </xdr:nvSpPr>
      <xdr:spPr>
        <a:xfrm>
          <a:off x="6908343" y="1934936"/>
          <a:ext cx="2245178" cy="443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D9384E-B29F-4C25-AD82-D60F8D360D66}" type="TxLink">
            <a:rPr lang="en-US" sz="2500" b="1" i="0" u="none" strike="noStrike">
              <a:solidFill>
                <a:schemeClr val="tx2">
                  <a:lumMod val="75000"/>
                </a:schemeClr>
              </a:solidFill>
              <a:latin typeface="Calibri"/>
              <a:ea typeface="Calibri"/>
              <a:cs typeface="Calibri"/>
            </a:rPr>
            <a:pPr algn="ctr"/>
            <a:t>₱4,203,367</a:t>
          </a:fld>
          <a:endParaRPr lang="en-PH" sz="2500" b="1">
            <a:solidFill>
              <a:schemeClr val="tx2">
                <a:lumMod val="75000"/>
              </a:schemeClr>
            </a:solidFill>
          </a:endParaRPr>
        </a:p>
      </xdr:txBody>
    </xdr:sp>
    <xdr:clientData/>
  </xdr:twoCellAnchor>
  <xdr:twoCellAnchor editAs="oneCell">
    <xdr:from>
      <xdr:col>15</xdr:col>
      <xdr:colOff>462643</xdr:colOff>
      <xdr:row>8</xdr:row>
      <xdr:rowOff>0</xdr:rowOff>
    </xdr:from>
    <xdr:to>
      <xdr:col>17</xdr:col>
      <xdr:colOff>152400</xdr:colOff>
      <xdr:row>12</xdr:row>
      <xdr:rowOff>152400</xdr:rowOff>
    </xdr:to>
    <xdr:pic>
      <xdr:nvPicPr>
        <xdr:cNvPr id="48" name="Graphic 47" descr="User with solid fill">
          <a:extLst>
            <a:ext uri="{FF2B5EF4-FFF2-40B4-BE49-F238E27FC236}">
              <a16:creationId xmlns:a16="http://schemas.microsoft.com/office/drawing/2014/main" id="{BBAD7176-46C0-0D77-FD91-94D13DA8807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647464" y="1524000"/>
          <a:ext cx="914400" cy="914400"/>
        </a:xfrm>
        <a:prstGeom prst="rect">
          <a:avLst/>
        </a:prstGeom>
      </xdr:spPr>
    </xdr:pic>
    <xdr:clientData/>
  </xdr:twoCellAnchor>
  <xdr:twoCellAnchor>
    <xdr:from>
      <xdr:col>17</xdr:col>
      <xdr:colOff>398687</xdr:colOff>
      <xdr:row>10</xdr:row>
      <xdr:rowOff>59870</xdr:rowOff>
    </xdr:from>
    <xdr:to>
      <xdr:col>21</xdr:col>
      <xdr:colOff>194579</xdr:colOff>
      <xdr:row>12</xdr:row>
      <xdr:rowOff>122460</xdr:rowOff>
    </xdr:to>
    <xdr:sp macro="" textlink="'Pivot Tables'!X5">
      <xdr:nvSpPr>
        <xdr:cNvPr id="49" name="TextBox 48">
          <a:extLst>
            <a:ext uri="{FF2B5EF4-FFF2-40B4-BE49-F238E27FC236}">
              <a16:creationId xmlns:a16="http://schemas.microsoft.com/office/drawing/2014/main" id="{DF5DE512-F309-46DC-BE66-0F89805C9CAA}"/>
            </a:ext>
          </a:extLst>
        </xdr:cNvPr>
        <xdr:cNvSpPr txBox="1"/>
      </xdr:nvSpPr>
      <xdr:spPr>
        <a:xfrm>
          <a:off x="10808151" y="1964870"/>
          <a:ext cx="2245178" cy="443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AFEC7-97F5-4214-8E00-0B70965EEBEB}" type="TxLink">
            <a:rPr lang="en-US" sz="2500" b="1" i="0" u="none" strike="noStrike">
              <a:solidFill>
                <a:schemeClr val="tx2">
                  <a:lumMod val="75000"/>
                </a:schemeClr>
              </a:solidFill>
              <a:latin typeface="Calibri"/>
              <a:ea typeface="Calibri"/>
              <a:cs typeface="Calibri"/>
            </a:rPr>
            <a:pPr algn="ctr"/>
            <a:t>98982</a:t>
          </a:fld>
          <a:endParaRPr lang="en-PH" sz="2500" b="1">
            <a:solidFill>
              <a:schemeClr val="tx2">
                <a:lumMod val="75000"/>
              </a:schemeClr>
            </a:solidFill>
          </a:endParaRPr>
        </a:p>
      </xdr:txBody>
    </xdr:sp>
    <xdr:clientData/>
  </xdr:twoCellAnchor>
  <xdr:twoCellAnchor>
    <xdr:from>
      <xdr:col>23</xdr:col>
      <xdr:colOff>353786</xdr:colOff>
      <xdr:row>8</xdr:row>
      <xdr:rowOff>13606</xdr:rowOff>
    </xdr:from>
    <xdr:to>
      <xdr:col>28</xdr:col>
      <xdr:colOff>231322</xdr:colOff>
      <xdr:row>10</xdr:row>
      <xdr:rowOff>59867</xdr:rowOff>
    </xdr:to>
    <xdr:sp macro="" textlink="">
      <xdr:nvSpPr>
        <xdr:cNvPr id="50" name="TextBox 49">
          <a:extLst>
            <a:ext uri="{FF2B5EF4-FFF2-40B4-BE49-F238E27FC236}">
              <a16:creationId xmlns:a16="http://schemas.microsoft.com/office/drawing/2014/main" id="{F182B2C9-F7D1-4985-8FDC-48B420F07B94}"/>
            </a:ext>
          </a:extLst>
        </xdr:cNvPr>
        <xdr:cNvSpPr txBox="1"/>
      </xdr:nvSpPr>
      <xdr:spPr>
        <a:xfrm>
          <a:off x="14437179" y="1537606"/>
          <a:ext cx="2939143" cy="427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000" b="1">
              <a:solidFill>
                <a:schemeClr val="tx2">
                  <a:lumMod val="75000"/>
                </a:schemeClr>
              </a:solidFill>
              <a:latin typeface="Cambria Math" panose="02040503050406030204" pitchFamily="18" charset="0"/>
              <a:ea typeface="Cambria Math" panose="02040503050406030204" pitchFamily="18" charset="0"/>
            </a:rPr>
            <a:t>TARGET</a:t>
          </a:r>
          <a:r>
            <a:rPr lang="en-PH" sz="3000" b="1" baseline="0">
              <a:solidFill>
                <a:schemeClr val="tx2">
                  <a:lumMod val="75000"/>
                </a:schemeClr>
              </a:solidFill>
              <a:latin typeface="Cambria Math" panose="02040503050406030204" pitchFamily="18" charset="0"/>
              <a:ea typeface="Cambria Math" panose="02040503050406030204" pitchFamily="18" charset="0"/>
            </a:rPr>
            <a:t> SALES</a:t>
          </a:r>
          <a:endParaRPr lang="en-PH" sz="3000" b="1">
            <a:solidFill>
              <a:schemeClr val="tx2">
                <a:lumMod val="75000"/>
              </a:schemeClr>
            </a:solidFill>
            <a:latin typeface="Cambria Math" panose="02040503050406030204" pitchFamily="18" charset="0"/>
            <a:ea typeface="Cambria Math" panose="02040503050406030204" pitchFamily="18" charset="0"/>
          </a:endParaRPr>
        </a:p>
      </xdr:txBody>
    </xdr:sp>
    <xdr:clientData/>
  </xdr:twoCellAnchor>
  <xdr:twoCellAnchor editAs="oneCell">
    <xdr:from>
      <xdr:col>22</xdr:col>
      <xdr:colOff>217714</xdr:colOff>
      <xdr:row>8</xdr:row>
      <xdr:rowOff>13607</xdr:rowOff>
    </xdr:from>
    <xdr:to>
      <xdr:col>23</xdr:col>
      <xdr:colOff>519792</xdr:colOff>
      <xdr:row>12</xdr:row>
      <xdr:rowOff>166007</xdr:rowOff>
    </xdr:to>
    <xdr:pic>
      <xdr:nvPicPr>
        <xdr:cNvPr id="52" name="Graphic 51" descr="Bullseye with solid fill">
          <a:extLst>
            <a:ext uri="{FF2B5EF4-FFF2-40B4-BE49-F238E27FC236}">
              <a16:creationId xmlns:a16="http://schemas.microsoft.com/office/drawing/2014/main" id="{ADA37D1C-84C9-7852-BBC2-F1F8C585A44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688785" y="1537607"/>
          <a:ext cx="914400" cy="914400"/>
        </a:xfrm>
        <a:prstGeom prst="rect">
          <a:avLst/>
        </a:prstGeom>
      </xdr:spPr>
    </xdr:pic>
    <xdr:clientData/>
  </xdr:twoCellAnchor>
  <xdr:twoCellAnchor>
    <xdr:from>
      <xdr:col>16</xdr:col>
      <xdr:colOff>438149</xdr:colOff>
      <xdr:row>8</xdr:row>
      <xdr:rowOff>16328</xdr:rowOff>
    </xdr:from>
    <xdr:to>
      <xdr:col>22</xdr:col>
      <xdr:colOff>95251</xdr:colOff>
      <xdr:row>10</xdr:row>
      <xdr:rowOff>62589</xdr:rowOff>
    </xdr:to>
    <xdr:sp macro="" textlink="">
      <xdr:nvSpPr>
        <xdr:cNvPr id="53" name="TextBox 52">
          <a:extLst>
            <a:ext uri="{FF2B5EF4-FFF2-40B4-BE49-F238E27FC236}">
              <a16:creationId xmlns:a16="http://schemas.microsoft.com/office/drawing/2014/main" id="{82AE1111-BD74-4E78-873D-A9659A61E650}"/>
            </a:ext>
          </a:extLst>
        </xdr:cNvPr>
        <xdr:cNvSpPr txBox="1"/>
      </xdr:nvSpPr>
      <xdr:spPr>
        <a:xfrm>
          <a:off x="10235292" y="1540328"/>
          <a:ext cx="3331030" cy="427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000" b="1">
              <a:solidFill>
                <a:schemeClr val="tx2">
                  <a:lumMod val="75000"/>
                </a:schemeClr>
              </a:solidFill>
              <a:latin typeface="Cambria Math" panose="02040503050406030204" pitchFamily="18" charset="0"/>
              <a:ea typeface="Cambria Math" panose="02040503050406030204" pitchFamily="18" charset="0"/>
            </a:rPr>
            <a:t>CUSTOMER COUNT</a:t>
          </a:r>
        </a:p>
      </xdr:txBody>
    </xdr:sp>
    <xdr:clientData/>
  </xdr:twoCellAnchor>
  <xdr:twoCellAnchor>
    <xdr:from>
      <xdr:col>24</xdr:col>
      <xdr:colOff>88444</xdr:colOff>
      <xdr:row>10</xdr:row>
      <xdr:rowOff>62591</xdr:rowOff>
    </xdr:from>
    <xdr:to>
      <xdr:col>27</xdr:col>
      <xdr:colOff>496657</xdr:colOff>
      <xdr:row>12</xdr:row>
      <xdr:rowOff>125181</xdr:rowOff>
    </xdr:to>
    <xdr:sp macro="" textlink="'Pivot Tables'!Z5">
      <xdr:nvSpPr>
        <xdr:cNvPr id="54" name="TextBox 53">
          <a:extLst>
            <a:ext uri="{FF2B5EF4-FFF2-40B4-BE49-F238E27FC236}">
              <a16:creationId xmlns:a16="http://schemas.microsoft.com/office/drawing/2014/main" id="{671BFDDA-69C7-4655-9DDD-32CD6B90FCC8}"/>
            </a:ext>
          </a:extLst>
        </xdr:cNvPr>
        <xdr:cNvSpPr txBox="1"/>
      </xdr:nvSpPr>
      <xdr:spPr>
        <a:xfrm>
          <a:off x="14784158" y="1967591"/>
          <a:ext cx="2245178" cy="443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50A85D-65F0-48E6-A224-728954D2B19D}" type="TxLink">
            <a:rPr lang="en-US" sz="2500" b="1" i="0" u="none" strike="noStrike">
              <a:solidFill>
                <a:schemeClr val="tx2">
                  <a:lumMod val="75000"/>
                </a:schemeClr>
              </a:solidFill>
              <a:latin typeface="Calibri"/>
              <a:ea typeface="Calibri"/>
              <a:cs typeface="Calibri"/>
            </a:rPr>
            <a:pPr algn="ctr"/>
            <a:t>₱10,454,819</a:t>
          </a:fld>
          <a:endParaRPr lang="en-PH" sz="2500" b="1">
            <a:solidFill>
              <a:schemeClr val="tx2">
                <a:lumMod val="75000"/>
              </a:schemeClr>
            </a:solidFill>
          </a:endParaRPr>
        </a:p>
      </xdr:txBody>
    </xdr:sp>
    <xdr:clientData/>
  </xdr:twoCellAnchor>
  <xdr:twoCellAnchor>
    <xdr:from>
      <xdr:col>2</xdr:col>
      <xdr:colOff>598714</xdr:colOff>
      <xdr:row>14</xdr:row>
      <xdr:rowOff>0</xdr:rowOff>
    </xdr:from>
    <xdr:to>
      <xdr:col>12</xdr:col>
      <xdr:colOff>312964</xdr:colOff>
      <xdr:row>29</xdr:row>
      <xdr:rowOff>163286</xdr:rowOff>
    </xdr:to>
    <xdr:graphicFrame macro="">
      <xdr:nvGraphicFramePr>
        <xdr:cNvPr id="56" name="Chart 55">
          <a:extLst>
            <a:ext uri="{FF2B5EF4-FFF2-40B4-BE49-F238E27FC236}">
              <a16:creationId xmlns:a16="http://schemas.microsoft.com/office/drawing/2014/main" id="{B0BE82C9-B8AC-4287-AEDD-B8EDB6312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457696</xdr:colOff>
      <xdr:row>14</xdr:row>
      <xdr:rowOff>40821</xdr:rowOff>
    </xdr:from>
    <xdr:to>
      <xdr:col>21</xdr:col>
      <xdr:colOff>581396</xdr:colOff>
      <xdr:row>29</xdr:row>
      <xdr:rowOff>111331</xdr:rowOff>
    </xdr:to>
    <xdr:graphicFrame macro="">
      <xdr:nvGraphicFramePr>
        <xdr:cNvPr id="3" name="Chart 2">
          <a:extLst>
            <a:ext uri="{FF2B5EF4-FFF2-40B4-BE49-F238E27FC236}">
              <a16:creationId xmlns:a16="http://schemas.microsoft.com/office/drawing/2014/main" id="{D5B05529-55FB-4E29-8E38-299D7E54B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35719</xdr:colOff>
      <xdr:row>30</xdr:row>
      <xdr:rowOff>71437</xdr:rowOff>
    </xdr:from>
    <xdr:to>
      <xdr:col>12</xdr:col>
      <xdr:colOff>238126</xdr:colOff>
      <xdr:row>45</xdr:row>
      <xdr:rowOff>119062</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BB756445-C25A-48AD-B9BA-358CA5F0AE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864519" y="5786437"/>
              <a:ext cx="5688807" cy="2905125"/>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383070</xdr:colOff>
      <xdr:row>30</xdr:row>
      <xdr:rowOff>57460</xdr:rowOff>
    </xdr:from>
    <xdr:to>
      <xdr:col>22</xdr:col>
      <xdr:colOff>0</xdr:colOff>
      <xdr:row>45</xdr:row>
      <xdr:rowOff>185840</xdr:rowOff>
    </xdr:to>
    <xdr:graphicFrame macro="">
      <xdr:nvGraphicFramePr>
        <xdr:cNvPr id="9" name="Chart 8">
          <a:extLst>
            <a:ext uri="{FF2B5EF4-FFF2-40B4-BE49-F238E27FC236}">
              <a16:creationId xmlns:a16="http://schemas.microsoft.com/office/drawing/2014/main" id="{96616EA7-5B53-4859-BDC5-4D56E19659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222250</xdr:colOff>
      <xdr:row>14</xdr:row>
      <xdr:rowOff>52917</xdr:rowOff>
    </xdr:from>
    <xdr:to>
      <xdr:col>28</xdr:col>
      <xdr:colOff>264584</xdr:colOff>
      <xdr:row>45</xdr:row>
      <xdr:rowOff>127001</xdr:rowOff>
    </xdr:to>
    <xdr:graphicFrame macro="">
      <xdr:nvGraphicFramePr>
        <xdr:cNvPr id="10" name="Chart 9">
          <a:extLst>
            <a:ext uri="{FF2B5EF4-FFF2-40B4-BE49-F238E27FC236}">
              <a16:creationId xmlns:a16="http://schemas.microsoft.com/office/drawing/2014/main" id="{2D9A08FB-F3F5-44A4-983C-F71CD6FC23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217713</xdr:colOff>
      <xdr:row>8</xdr:row>
      <xdr:rowOff>13606</xdr:rowOff>
    </xdr:from>
    <xdr:to>
      <xdr:col>2</xdr:col>
      <xdr:colOff>489857</xdr:colOff>
      <xdr:row>16</xdr:row>
      <xdr:rowOff>0</xdr:rowOff>
    </xdr:to>
    <mc:AlternateContent xmlns:mc="http://schemas.openxmlformats.org/markup-compatibility/2006" xmlns:a14="http://schemas.microsoft.com/office/drawing/2010/main">
      <mc:Choice Requires="a14">
        <xdr:graphicFrame macro="">
          <xdr:nvGraphicFramePr>
            <xdr:cNvPr id="11" name="Branch 1">
              <a:extLst>
                <a:ext uri="{FF2B5EF4-FFF2-40B4-BE49-F238E27FC236}">
                  <a16:creationId xmlns:a16="http://schemas.microsoft.com/office/drawing/2014/main" id="{F5178F09-5589-4DBD-9CFF-D814EF7546F0}"/>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217713" y="1537606"/>
              <a:ext cx="1496787" cy="151039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204108</xdr:colOff>
      <xdr:row>37</xdr:row>
      <xdr:rowOff>1</xdr:rowOff>
    </xdr:from>
    <xdr:to>
      <xdr:col>2</xdr:col>
      <xdr:colOff>544286</xdr:colOff>
      <xdr:row>45</xdr:row>
      <xdr:rowOff>127002</xdr:rowOff>
    </xdr:to>
    <mc:AlternateContent xmlns:mc="http://schemas.openxmlformats.org/markup-compatibility/2006">
      <mc:Choice xmlns:a14="http://schemas.microsoft.com/office/drawing/2010/main" Requires="a14">
        <xdr:graphicFrame macro="">
          <xdr:nvGraphicFramePr>
            <xdr:cNvPr id="13" name="Date 1">
              <a:extLst>
                <a:ext uri="{FF2B5EF4-FFF2-40B4-BE49-F238E27FC236}">
                  <a16:creationId xmlns:a16="http://schemas.microsoft.com/office/drawing/2014/main" id="{E7C03407-D129-4D06-A4D5-5EDB907A6F97}"/>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dr:sp macro="" textlink="">
          <xdr:nvSpPr>
            <xdr:cNvPr id="0" name=""/>
            <xdr:cNvSpPr>
              <a:spLocks noTextEdit="1"/>
            </xdr:cNvSpPr>
          </xdr:nvSpPr>
          <xdr:spPr>
            <a:xfrm>
              <a:off x="204108" y="7048501"/>
              <a:ext cx="1564821" cy="165100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163285</xdr:colOff>
      <xdr:row>17</xdr:row>
      <xdr:rowOff>95251</xdr:rowOff>
    </xdr:from>
    <xdr:to>
      <xdr:col>2</xdr:col>
      <xdr:colOff>489857</xdr:colOff>
      <xdr:row>37</xdr:row>
      <xdr:rowOff>1</xdr:rowOff>
    </xdr:to>
    <mc:AlternateContent xmlns:mc="http://schemas.openxmlformats.org/markup-compatibility/2006" xmlns:a14="http://schemas.microsoft.com/office/drawing/2010/main">
      <mc:Choice Requires="a14">
        <xdr:graphicFrame macro="">
          <xdr:nvGraphicFramePr>
            <xdr:cNvPr id="14" name="Month">
              <a:extLst>
                <a:ext uri="{FF2B5EF4-FFF2-40B4-BE49-F238E27FC236}">
                  <a16:creationId xmlns:a16="http://schemas.microsoft.com/office/drawing/2014/main" id="{E4E91D44-0F04-4366-82AF-4CED0DA1247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7713" y="3429000"/>
              <a:ext cx="1496787" cy="36195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462644</xdr:colOff>
      <xdr:row>1</xdr:row>
      <xdr:rowOff>81642</xdr:rowOff>
    </xdr:from>
    <xdr:to>
      <xdr:col>26</xdr:col>
      <xdr:colOff>302079</xdr:colOff>
      <xdr:row>6</xdr:row>
      <xdr:rowOff>122464</xdr:rowOff>
    </xdr:to>
    <xdr:pic macro="[0]!Refresh_All">
      <xdr:nvPicPr>
        <xdr:cNvPr id="15" name="Graphic 14" descr="Arrow circle with solid fill">
          <a:extLst>
            <a:ext uri="{FF2B5EF4-FFF2-40B4-BE49-F238E27FC236}">
              <a16:creationId xmlns:a16="http://schemas.microsoft.com/office/drawing/2014/main" id="{A6DD40C8-827C-1FC2-EF9D-FC2FCACC7F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158358" y="272142"/>
          <a:ext cx="1064078" cy="993322"/>
        </a:xfrm>
        <a:prstGeom prst="rect">
          <a:avLst/>
        </a:prstGeom>
      </xdr:spPr>
    </xdr:pic>
    <xdr:clientData/>
  </xdr:twoCellAnchor>
  <xdr:twoCellAnchor editAs="oneCell">
    <xdr:from>
      <xdr:col>26</xdr:col>
      <xdr:colOff>462642</xdr:colOff>
      <xdr:row>1</xdr:row>
      <xdr:rowOff>122464</xdr:rowOff>
    </xdr:from>
    <xdr:to>
      <xdr:col>28</xdr:col>
      <xdr:colOff>176892</xdr:colOff>
      <xdr:row>6</xdr:row>
      <xdr:rowOff>97972</xdr:rowOff>
    </xdr:to>
    <xdr:pic macro="[0]!Swtchprg">
      <xdr:nvPicPr>
        <xdr:cNvPr id="17" name="Graphic 16" descr="Monitor with solid fill">
          <a:extLst>
            <a:ext uri="{FF2B5EF4-FFF2-40B4-BE49-F238E27FC236}">
              <a16:creationId xmlns:a16="http://schemas.microsoft.com/office/drawing/2014/main" id="{1751534C-3A19-4415-CBA0-BA9CA1C57DF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6382999" y="312964"/>
          <a:ext cx="938893" cy="92800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01.014509375003" createdVersion="8" refreshedVersion="8" minRefreshableVersion="3" recordCount="1500" xr:uid="{D4407D41-FB0E-4CD4-A079-09F31EAFF775}">
  <cacheSource type="worksheet">
    <worksheetSource name="Table1"/>
  </cacheSource>
  <cacheFields count="11">
    <cacheField name="Date" numFmtId="0">
      <sharedItems count="924">
        <s v="03/03/2024"/>
        <s v="04/08/2023"/>
        <s v="19/08/2023"/>
        <s v="12/07/2023"/>
        <s v="01/05/2022"/>
        <s v="22/10/2025"/>
        <s v="05/12/2023"/>
        <s v="03/06/2024"/>
        <s v="03/01/2024"/>
        <s v="27/08/2024"/>
        <s v="07/01/2023"/>
        <s v="07/11/2025"/>
        <s v="06/03/2024"/>
        <s v="21/01/2023"/>
        <s v="01/04/2025"/>
        <s v="04/01/2025"/>
        <s v="28/01/2025"/>
        <s v="22/09/2025"/>
        <s v="23/02/2025"/>
        <s v="06/07/2022"/>
        <s v="10/10/2025"/>
        <s v="01/05/2023"/>
        <s v="12/12/2024"/>
        <s v="10/02/2022"/>
        <s v="15/10/2022"/>
        <s v="24/04/2025"/>
        <s v="28/12/2022"/>
        <s v="01/10/2024"/>
        <s v="28/05/2025"/>
        <s v="21/07/2024"/>
        <s v="25/03/2023"/>
        <s v="18/06/2025"/>
        <s v="27/07/2022"/>
        <s v="15/08/2025"/>
        <s v="26/04/2024"/>
        <s v="18/10/2023"/>
        <s v="13/09/2023"/>
        <s v="22/06/2024"/>
        <s v="26/09/2024"/>
        <s v="18/05/2023"/>
        <s v="28/12/2023"/>
        <s v="21/11/2024"/>
        <s v="29/06/2025"/>
        <s v="10/07/2024"/>
        <s v="17/08/2024"/>
        <s v="13/01/2025"/>
        <s v="04/05/2022"/>
        <s v="25/03/2024"/>
        <s v="23/11/2025"/>
        <s v="08/11/2022"/>
        <s v="19/12/2024"/>
        <s v="19/08/2024"/>
        <s v="12/03/2025"/>
        <s v="19/12/2022"/>
        <s v="30/11/2024"/>
        <s v="14/06/2025"/>
        <s v="10/04/2024"/>
        <s v="08/02/2022"/>
        <s v="22/06/2023"/>
        <s v="16/10/2025"/>
        <s v="17/08/2022"/>
        <s v="06/12/2025"/>
        <s v="15/10/2023"/>
        <s v="04/11/2022"/>
        <s v="17/05/2023"/>
        <s v="23/06/2025"/>
        <s v="28/06/2022"/>
        <s v="12/07/2024"/>
        <s v="23/02/2022"/>
        <s v="29/09/2023"/>
        <s v="24/06/2024"/>
        <s v="06/07/2025"/>
        <s v="08/01/2025"/>
        <s v="17/09/2023"/>
        <s v="26/06/2024"/>
        <s v="21/03/2025"/>
        <s v="11/05/2024"/>
        <s v="01/03/2023"/>
        <s v="25/01/2022"/>
        <s v="07/03/2024"/>
        <s v="02/01/2025"/>
        <s v="07/04/2023"/>
        <s v="06/06/2022"/>
        <s v="29/03/2024"/>
        <s v="08/11/2024"/>
        <s v="12/02/2024"/>
        <s v="09/07/2023"/>
        <s v="18/12/2023"/>
        <s v="23/07/2024"/>
        <s v="21/09/2022"/>
        <s v="21/06/2025"/>
        <s v="28/11/2022"/>
        <s v="27/07/2024"/>
        <s v="06/03/2025"/>
        <s v="17/11/2025"/>
        <s v="31/12/2025"/>
        <s v="05/10/2024"/>
        <s v="09/03/2023"/>
        <s v="25/01/2025"/>
        <s v="21/04/2025"/>
        <s v="29/07/2024"/>
        <s v="02/04/2025"/>
        <s v="22/12/2024"/>
        <s v="01/12/2024"/>
        <s v="25/05/2025"/>
        <s v="10/02/2025"/>
        <s v="04/12/2024"/>
        <s v="14/02/2024"/>
        <s v="04/03/2024"/>
        <s v="27/05/2024"/>
        <s v="01/10/2022"/>
        <s v="06/02/2022"/>
        <s v="10/11/2022"/>
        <s v="17/06/2025"/>
        <s v="23/01/2024"/>
        <s v="24/02/2023"/>
        <s v="02/10/2025"/>
        <s v="24/08/2022"/>
        <s v="17/07/2024"/>
        <s v="22/10/2022"/>
        <s v="31/03/2022"/>
        <s v="17/06/2023"/>
        <s v="03/09/2023"/>
        <s v="08/09/2024"/>
        <s v="05/09/2024"/>
        <s v="20/11/2024"/>
        <s v="21/06/2023"/>
        <s v="12/02/2022"/>
        <s v="08/10/2022"/>
        <s v="31/07/2025"/>
        <s v="27/06/2023"/>
        <s v="02/12/2022"/>
        <s v="13/04/2025"/>
        <s v="02/05/2023"/>
        <s v="11/07/2023"/>
        <s v="05/01/2023"/>
        <s v="14/09/2024"/>
        <s v="11/10/2022"/>
        <s v="06/09/2024"/>
        <s v="29/05/2022"/>
        <s v="23/09/2022"/>
        <s v="24/04/2023"/>
        <s v="21/11/2023"/>
        <s v="28/04/2025"/>
        <s v="27/05/2022"/>
        <s v="05/02/2025"/>
        <s v="17/05/2024"/>
        <s v="29/08/2022"/>
        <s v="13/09/2025"/>
        <s v="29/10/2025"/>
        <s v="06/12/2023"/>
        <s v="23/09/2023"/>
        <s v="14/04/2023"/>
        <s v="20/06/2023"/>
        <s v="18/05/2024"/>
        <s v="16/03/2025"/>
        <s v="22/11/2023"/>
        <s v="09/03/2024"/>
        <s v="23/08/2025"/>
        <s v="25/04/2025"/>
        <s v="31/10/2023"/>
        <s v="24/03/2022"/>
        <s v="18/02/2025"/>
        <s v="29/03/2025"/>
        <s v="01/02/2024"/>
        <s v="08/01/2024"/>
        <s v="27/10/2023"/>
        <s v="04/02/2023"/>
        <s v="16/09/2023"/>
        <s v="31/08/2025"/>
        <s v="15/04/2023"/>
        <s v="26/05/2022"/>
        <s v="12/09/2024"/>
        <s v="16/04/2025"/>
        <s v="08/01/2022"/>
        <s v="23/04/2023"/>
        <s v="08/02/2024"/>
        <s v="14/12/2022"/>
        <s v="12/10/2022"/>
        <s v="27/01/2022"/>
        <s v="07/03/2023"/>
        <s v="06/10/2022"/>
        <s v="17/03/2023"/>
        <s v="23/01/2022"/>
        <s v="18/04/2024"/>
        <s v="16/05/2025"/>
        <s v="01/03/2025"/>
        <s v="02/06/2023"/>
        <s v="16/03/2022"/>
        <s v="25/04/2022"/>
        <s v="31/05/2023"/>
        <s v="19/11/2025"/>
        <s v="19/05/2023"/>
        <s v="27/02/2023"/>
        <s v="13/11/2025"/>
        <s v="20/10/2022"/>
        <s v="17/10/2023"/>
        <s v="03/11/2025"/>
        <s v="05/03/2024"/>
        <s v="18/04/2023"/>
        <s v="10/03/2025"/>
        <s v="27/02/2025"/>
        <s v="15/03/2023"/>
        <s v="18/04/2022"/>
        <s v="29/01/2025"/>
        <s v="14/07/2024"/>
        <s v="19/01/2023"/>
        <s v="30/05/2022"/>
        <s v="29/04/2022"/>
        <s v="23/04/2024"/>
        <s v="11/04/2024"/>
        <s v="28/10/2023"/>
        <s v="26/09/2025"/>
        <s v="24/04/2024"/>
        <s v="20/06/2022"/>
        <s v="06/04/2024"/>
        <s v="13/02/2025"/>
        <s v="30/07/2022"/>
        <s v="14/07/2025"/>
        <s v="07/08/2024"/>
        <s v="25/12/2022"/>
        <s v="06/04/2025"/>
        <s v="10/06/2023"/>
        <s v="29/11/2023"/>
        <s v="31/01/2022"/>
        <s v="24/07/2025"/>
        <s v="05/11/2022"/>
        <s v="20/05/2025"/>
        <s v="16/04/2024"/>
        <s v="08/01/2023"/>
        <s v="24/02/2024"/>
        <s v="07/09/2023"/>
        <s v="25/12/2023"/>
        <s v="28/11/2025"/>
        <s v="05/09/2022"/>
        <s v="06/11/2024"/>
        <s v="28/09/2023"/>
        <s v="21/12/2023"/>
        <s v="01/06/2025"/>
        <s v="11/01/2025"/>
        <s v="21/04/2023"/>
        <s v="26/08/2025"/>
        <s v="28/11/2023"/>
        <s v="25/10/2023"/>
        <s v="15/11/2022"/>
        <s v="30/11/2022"/>
        <s v="11/12/2023"/>
        <s v="16/06/2025"/>
        <s v="30/09/2025"/>
        <s v="14/05/2023"/>
        <s v="13/12/2022"/>
        <s v="08/03/2023"/>
        <s v="15/06/2022"/>
        <s v="26/07/2023"/>
        <s v="13/06/2025"/>
        <s v="29/03/2022"/>
        <s v="29/11/2024"/>
        <s v="31/10/2025"/>
        <s v="11/11/2022"/>
        <s v="09/11/2023"/>
        <s v="11/02/2023"/>
        <s v="17/10/2022"/>
        <s v="19/04/2024"/>
        <s v="28/08/2022"/>
        <s v="17/02/2022"/>
        <s v="21/02/2024"/>
        <s v="05/08/2024"/>
        <s v="03/05/2022"/>
        <s v="29/12/2024"/>
        <s v="27/06/2022"/>
        <s v="12/05/2024"/>
        <s v="05/02/2022"/>
        <s v="20/11/2023"/>
        <s v="27/08/2025"/>
        <s v="16/05/2022"/>
        <s v="06/03/2023"/>
        <s v="09/05/2024"/>
        <s v="11/04/2022"/>
        <s v="29/12/2025"/>
        <s v="22/02/2025"/>
        <s v="02/01/2022"/>
        <s v="19/10/2025"/>
        <s v="03/09/2022"/>
        <s v="11/01/2022"/>
        <s v="15/04/2022"/>
        <s v="29/04/2023"/>
        <s v="17/02/2025"/>
        <s v="09/12/2022"/>
        <s v="27/12/2022"/>
        <s v="05/06/2022"/>
        <s v="04/03/2022"/>
        <s v="18/08/2022"/>
        <s v="22/05/2023"/>
        <s v="12/02/2025"/>
        <s v="22/03/2023"/>
        <s v="07/05/2024"/>
        <s v="06/08/2023"/>
        <s v="07/05/2025"/>
        <s v="30/04/2022"/>
        <s v="22/11/2024"/>
        <s v="02/06/2024"/>
        <s v="10/01/2025"/>
        <s v="12/08/2022"/>
        <s v="22/05/2025"/>
        <s v="13/05/2022"/>
        <s v="25/09/2024"/>
        <s v="02/11/2022"/>
        <s v="06/10/2025"/>
        <s v="09/06/2024"/>
        <s v="15/04/2025"/>
        <s v="13/10/2022"/>
        <s v="28/10/2025"/>
        <s v="17/12/2024"/>
        <s v="23/04/2025"/>
        <s v="08/07/2023"/>
        <s v="05/04/2024"/>
        <s v="04/06/2023"/>
        <s v="05/11/2024"/>
        <s v="04/09/2025"/>
        <s v="07/06/2025"/>
        <s v="25/05/2023"/>
        <s v="24/11/2022"/>
        <s v="11/10/2025"/>
        <s v="22/12/2023"/>
        <s v="16/02/2024"/>
        <s v="05/05/2022"/>
        <s v="27/11/2024"/>
        <s v="24/02/2022"/>
        <s v="02/12/2023"/>
        <s v="22/06/2022"/>
        <s v="01/07/2023"/>
        <s v="24/08/2025"/>
        <s v="25/02/2023"/>
        <s v="25/06/2022"/>
        <s v="20/12/2023"/>
        <s v="30/08/2025"/>
        <s v="14/01/2025"/>
        <s v="28/06/2025"/>
        <s v="24/11/2025"/>
        <s v="13/08/2023"/>
        <s v="10/05/2022"/>
        <s v="11/06/2023"/>
        <s v="18/01/2022"/>
        <s v="23/12/2022"/>
        <s v="14/10/2024"/>
        <s v="14/09/2025"/>
        <s v="07/01/2024"/>
        <s v="23/12/2024"/>
        <s v="24/09/2023"/>
        <s v="09/06/2022"/>
        <s v="04/12/2023"/>
        <s v="04/08/2025"/>
        <s v="13/03/2025"/>
        <s v="22/01/2024"/>
        <s v="13/01/2022"/>
        <s v="01/01/2023"/>
        <s v="03/08/2024"/>
        <s v="19/12/2023"/>
        <s v="17/05/2025"/>
        <s v="11/02/2022"/>
        <s v="09/04/2024"/>
        <s v="18/03/2024"/>
        <s v="17/06/2022"/>
        <s v="27/05/2023"/>
        <s v="19/02/2025"/>
        <s v="01/06/2023"/>
        <s v="13/02/2024"/>
        <s v="05/04/2022"/>
        <s v="18/11/2023"/>
        <s v="02/06/2022"/>
        <s v="16/12/2022"/>
        <s v="13/10/2024"/>
        <s v="28/10/2024"/>
        <s v="06/11/2022"/>
        <s v="06/06/2024"/>
        <s v="24/08/2024"/>
        <s v="24/10/2024"/>
        <s v="12/04/2025"/>
        <s v="09/12/2023"/>
        <s v="15/05/2023"/>
        <s v="29/08/2023"/>
        <s v="01/08/2025"/>
        <s v="01/08/2024"/>
        <s v="11/05/2022"/>
        <s v="04/09/2024"/>
        <s v="28/06/2024"/>
        <s v="11/04/2023"/>
        <s v="07/07/2023"/>
        <s v="22/09/2024"/>
        <s v="29/09/2025"/>
        <s v="26/12/2022"/>
        <s v="10/09/2022"/>
        <s v="26/07/2024"/>
        <s v="12/01/2025"/>
        <s v="30/10/2025"/>
        <s v="11/08/2022"/>
        <s v="03/09/2024"/>
        <s v="10/12/2023"/>
        <s v="05/06/2023"/>
        <s v="20/03/2025"/>
        <s v="04/02/2024"/>
        <s v="02/08/2023"/>
        <s v="05/12/2025"/>
        <s v="09/04/2023"/>
        <s v="01/04/2023"/>
        <s v="11/06/2025"/>
        <s v="12/06/2024"/>
        <s v="03/08/2025"/>
        <s v="13/04/2024"/>
        <s v="10/04/2025"/>
        <s v="26/11/2024"/>
        <s v="26/09/2022"/>
        <s v="07/05/2022"/>
        <s v="17/01/2023"/>
        <s v="08/09/2022"/>
        <s v="25/09/2025"/>
        <s v="16/06/2022"/>
        <s v="22/08/2022"/>
        <s v="13/04/2022"/>
        <s v="28/01/2024"/>
        <s v="25/12/2025"/>
        <s v="01/02/2025"/>
        <s v="07/10/2023"/>
        <s v="20/02/2022"/>
        <s v="31/03/2025"/>
        <s v="06/11/2023"/>
        <s v="14/01/2024"/>
        <s v="28/04/2024"/>
        <s v="12/07/2025"/>
        <s v="18/06/2022"/>
        <s v="30/08/2022"/>
        <s v="05/10/2023"/>
        <s v="12/09/2023"/>
        <s v="02/11/2023"/>
        <s v="07/08/2022"/>
        <s v="18/03/2025"/>
        <s v="29/06/2024"/>
        <s v="25/10/2022"/>
        <s v="28/12/2024"/>
        <s v="01/06/2024"/>
        <s v="19/03/2025"/>
        <s v="10/03/2023"/>
        <s v="14/01/2023"/>
        <s v="24/05/2022"/>
        <s v="19/10/2023"/>
        <s v="30/08/2023"/>
        <s v="29/07/2025"/>
        <s v="28/01/2022"/>
        <s v="03/10/2024"/>
        <s v="31/08/2023"/>
        <s v="23/08/2024"/>
        <s v="27/12/2024"/>
        <s v="20/08/2022"/>
        <s v="16/08/2025"/>
        <s v="23/02/2024"/>
        <s v="17/09/2022"/>
        <s v="21/12/2025"/>
        <s v="09/02/2025"/>
        <s v="08/05/2023"/>
        <s v="04/11/2024"/>
        <s v="28/01/2023"/>
        <s v="20/07/2024"/>
        <s v="03/06/2023"/>
        <s v="30/05/2024"/>
        <s v="27/11/2022"/>
        <s v="25/11/2022"/>
        <s v="08/07/2022"/>
        <s v="19/12/2025"/>
        <s v="27/12/2025"/>
        <s v="01/09/2025"/>
        <s v="10/01/2022"/>
        <s v="09/08/2025"/>
        <s v="17/09/2024"/>
        <s v="21/03/2024"/>
        <s v="17/12/2022"/>
        <s v="13/12/2024"/>
        <s v="21/05/2023"/>
        <s v="30/05/2023"/>
        <s v="16/01/2022"/>
        <s v="24/03/2024"/>
        <s v="31/01/2025"/>
        <s v="02/11/2025"/>
        <s v="16/09/2024"/>
        <s v="27/08/2023"/>
        <s v="12/03/2022"/>
        <s v="01/12/2022"/>
        <s v="30/06/2022"/>
        <s v="15/11/2023"/>
        <s v="21/10/2024"/>
        <s v="11/07/2024"/>
        <s v="02/12/2024"/>
        <s v="29/12/2023"/>
        <s v="09/09/2024"/>
        <s v="27/04/2023"/>
        <s v="08/08/2024"/>
        <s v="05/07/2025"/>
        <s v="25/11/2023"/>
        <s v="12/04/2023"/>
        <s v="01/08/2023"/>
        <s v="13/10/2025"/>
        <s v="11/05/2023"/>
        <s v="31/01/2024"/>
        <s v="29/03/2023"/>
        <s v="17/11/2022"/>
        <s v="13/11/2024"/>
        <s v="15/11/2025"/>
        <s v="06/06/2023"/>
        <s v="26/01/2024"/>
        <s v="10/07/2023"/>
        <s v="18/02/2023"/>
        <s v="14/05/2025"/>
        <s v="29/07/2022"/>
        <s v="13/06/2022"/>
        <s v="27/09/2022"/>
        <s v="17/07/2022"/>
        <s v="24/01/2024"/>
        <s v="02/07/2025"/>
        <s v="23/08/2023"/>
        <s v="14/04/2022"/>
        <s v="10/03/2024"/>
        <s v="20/09/2025"/>
        <s v="06/08/2025"/>
        <s v="21/03/2022"/>
        <s v="21/04/2022"/>
        <s v="26/03/2023"/>
        <s v="12/10/2024"/>
        <s v="04/09/2022"/>
        <s v="28/08/2025"/>
        <s v="25/03/2025"/>
        <s v="27/10/2024"/>
        <s v="05/07/2022"/>
        <s v="12/08/2025"/>
        <s v="18/11/2022"/>
        <s v="09/07/2022"/>
        <s v="31/03/2023"/>
        <s v="09/10/2023"/>
        <s v="25/11/2024"/>
        <s v="30/04/2023"/>
        <s v="22/08/2024"/>
        <s v="27/11/2023"/>
        <s v="14/08/2022"/>
        <s v="14/12/2023"/>
        <s v="26/12/2024"/>
        <s v="02/11/2024"/>
        <s v="05/02/2024"/>
        <s v="25/08/2025"/>
        <s v="29/06/2023"/>
        <s v="09/02/2022"/>
        <s v="20/04/2025"/>
        <s v="02/02/2025"/>
        <s v="14/05/2022"/>
        <s v="17/07/2025"/>
        <s v="26/05/2023"/>
        <s v="28/03/2022"/>
        <s v="27/01/2024"/>
        <s v="14/09/2022"/>
        <s v="04/07/2024"/>
        <s v="01/03/2022"/>
        <s v="19/05/2025"/>
        <s v="30/07/2024"/>
        <s v="26/03/2022"/>
        <s v="24/07/2024"/>
        <s v="06/12/2022"/>
        <s v="04/04/2024"/>
        <s v="01/07/2022"/>
        <s v="02/07/2022"/>
        <s v="01/01/2022"/>
        <s v="26/05/2025"/>
        <s v="25/04/2024"/>
        <s v="27/10/2025"/>
        <s v="23/03/2023"/>
        <s v="24/11/2024"/>
        <s v="19/05/2024"/>
        <s v="08/02/2023"/>
        <s v="06/04/2023"/>
        <s v="01/02/2022"/>
        <s v="01/07/2025"/>
        <s v="04/01/2022"/>
        <s v="27/02/2024"/>
        <s v="07/04/2024"/>
        <s v="02/10/2023"/>
        <s v="17/08/2025"/>
        <s v="28/05/2024"/>
        <s v="05/08/2025"/>
        <s v="27/06/2025"/>
        <s v="02/04/2022"/>
        <s v="25/01/2024"/>
        <s v="09/04/2022"/>
        <s v="27/04/2025"/>
        <s v="11/10/2024"/>
        <s v="20/04/2022"/>
        <s v="20/08/2023"/>
        <s v="26/12/2023"/>
        <s v="05/02/2023"/>
        <s v="16/01/2024"/>
        <s v="12/01/2023"/>
        <s v="06/05/2023"/>
        <s v="02/09/2025"/>
        <s v="25/02/2022"/>
        <s v="12/10/2023"/>
        <s v="12/05/2022"/>
        <s v="06/07/2024"/>
        <s v="27/06/2024"/>
        <s v="24/07/2022"/>
        <s v="31/07/2024"/>
        <s v="29/06/2022"/>
        <s v="16/11/2023"/>
        <s v="25/04/2023"/>
        <s v="17/10/2024"/>
        <s v="29/04/2024"/>
        <s v="20/12/2024"/>
        <s v="13/12/2023"/>
        <s v="04/06/2025"/>
        <s v="02/02/2023"/>
        <s v="13/03/2023"/>
        <s v="17/01/2024"/>
        <s v="15/12/2025"/>
        <s v="19/06/2023"/>
        <s v="25/10/2024"/>
        <s v="09/01/2025"/>
        <s v="04/10/2025"/>
        <s v="19/07/2022"/>
        <s v="13/07/2025"/>
        <s v="14/01/2022"/>
        <s v="27/01/2025"/>
        <s v="04/07/2025"/>
        <s v="20/12/2025"/>
        <s v="02/09/2024"/>
        <s v="01/10/2025"/>
        <s v="12/11/2025"/>
        <s v="16/04/2022"/>
        <s v="13/08/2025"/>
        <s v="11/07/2022"/>
        <s v="03/05/2023"/>
        <s v="30/09/2023"/>
        <s v="08/09/2023"/>
        <s v="16/10/2024"/>
        <s v="01/01/2024"/>
        <s v="10/08/2025"/>
        <s v="03/10/2025"/>
        <s v="22/03/2024"/>
        <s v="24/01/2023"/>
        <s v="11/08/2024"/>
        <s v="23/06/2024"/>
        <s v="24/12/2025"/>
        <s v="04/06/2022"/>
        <s v="23/09/2024"/>
        <s v="20/05/2023"/>
        <s v="16/12/2024"/>
        <s v="19/02/2022"/>
        <s v="26/11/2022"/>
        <s v="28/07/2025"/>
        <s v="25/06/2024"/>
        <s v="20/10/2025"/>
        <s v="04/08/2024"/>
        <s v="25/07/2024"/>
        <s v="22/12/2025"/>
        <s v="24/09/2022"/>
        <s v="23/01/2023"/>
        <s v="27/05/2025"/>
        <s v="15/09/2022"/>
        <s v="07/10/2022"/>
        <s v="09/06/2025"/>
        <s v="20/10/2023"/>
        <s v="26/01/2022"/>
        <s v="20/07/2025"/>
        <s v="09/10/2022"/>
        <s v="27/11/2025"/>
        <s v="12/01/2022"/>
        <s v="21/01/2025"/>
        <s v="18/09/2024"/>
        <s v="24/10/2023"/>
        <s v="08/10/2024"/>
        <s v="23/05/2022"/>
        <s v="08/12/2023"/>
        <s v="31/12/2024"/>
        <s v="23/12/2025"/>
        <s v="24/05/2025"/>
        <s v="02/08/2024"/>
        <s v="20/09/2023"/>
        <s v="12/06/2025"/>
        <s v="07/02/2022"/>
        <s v="11/04/2025"/>
        <s v="18/01/2023"/>
        <s v="07/09/2022"/>
        <s v="13/01/2023"/>
        <s v="22/11/2025"/>
        <s v="20/02/2023"/>
        <s v="16/04/2023"/>
        <s v="17/11/2024"/>
        <s v="18/09/2023"/>
        <s v="11/12/2025"/>
        <s v="07/12/2023"/>
        <s v="25/08/2022"/>
        <s v="03/03/2023"/>
        <s v="07/07/2025"/>
        <s v="02/05/2025"/>
        <s v="06/03/2022"/>
        <s v="24/04/2022"/>
        <s v="18/08/2024"/>
        <s v="30/07/2023"/>
        <s v="03/11/2022"/>
        <s v="18/10/2024"/>
        <s v="25/07/2023"/>
        <s v="14/07/2023"/>
        <s v="09/09/2022"/>
        <s v="08/08/2023"/>
        <s v="25/01/2023"/>
        <s v="28/08/2023"/>
        <s v="16/05/2024"/>
        <s v="09/02/2024"/>
        <s v="20/10/2024"/>
        <s v="12/06/2023"/>
        <s v="13/01/2024"/>
        <s v="13/02/2022"/>
        <s v="15/06/2024"/>
        <s v="16/07/2022"/>
        <s v="20/07/2022"/>
        <s v="11/03/2022"/>
        <s v="23/03/2025"/>
        <s v="16/12/2023"/>
        <s v="19/02/2024"/>
        <s v="28/12/2025"/>
        <s v="01/11/2024"/>
        <s v="20/05/2024"/>
        <s v="20/12/2022"/>
        <s v="24/10/2025"/>
        <s v="05/08/2022"/>
        <s v="15/02/2022"/>
        <s v="30/04/2025"/>
        <s v="26/08/2023"/>
        <s v="30/10/2022"/>
        <s v="16/03/2024"/>
        <s v="04/09/2023"/>
        <s v="30/03/2022"/>
        <s v="06/11/2025"/>
        <s v="03/04/2025"/>
        <s v="01/10/2023"/>
        <s v="06/07/2023"/>
        <s v="01/11/2023"/>
        <s v="13/09/2024"/>
        <s v="26/06/2023"/>
        <s v="12/03/2024"/>
        <s v="12/11/2022"/>
        <s v="07/10/2024"/>
        <s v="29/05/2024"/>
        <s v="31/05/2022"/>
        <s v="17/03/2025"/>
        <s v="14/02/2022"/>
        <s v="09/11/2022"/>
        <s v="24/12/2024"/>
        <s v="10/10/2024"/>
        <s v="03/10/2022"/>
        <s v="21/07/2023"/>
        <s v="16/06/2023"/>
        <s v="05/10/2025"/>
        <s v="30/12/2025"/>
        <s v="21/10/2023"/>
        <s v="04/08/2022"/>
        <s v="25/08/2023"/>
        <s v="16/09/2022"/>
        <s v="06/01/2025"/>
        <s v="16/12/2025"/>
        <s v="03/04/2024"/>
        <s v="25/09/2023"/>
        <s v="22/12/2022"/>
        <s v="27/03/2024"/>
        <s v="07/06/2023"/>
        <s v="07/08/2025"/>
        <s v="15/01/2022"/>
        <s v="28/07/2023"/>
        <s v="11/09/2023"/>
        <s v="23/08/2022"/>
        <s v="04/02/2022"/>
        <s v="07/04/2022"/>
        <s v="29/05/2025"/>
        <s v="07/03/2022"/>
        <s v="08/06/2022"/>
        <s v="04/04/2022"/>
        <s v="26/08/2024"/>
        <s v="21/05/2022"/>
        <s v="09/09/2023"/>
        <s v="20/01/2022"/>
        <s v="07/04/2025"/>
        <s v="22/10/2023"/>
        <s v="02/03/2023"/>
        <s v="07/02/2025"/>
        <s v="09/07/2025"/>
        <s v="03/07/2024"/>
        <s v="07/09/2025"/>
        <s v="08/05/2022"/>
        <s v="07/07/2022"/>
        <s v="03/12/2025"/>
        <s v="10/08/2022"/>
        <s v="26/03/2025"/>
        <s v="06/01/2024"/>
        <s v="17/04/2022"/>
        <s v="12/05/2025"/>
        <s v="21/08/2024"/>
        <s v="03/12/2024"/>
        <s v="26/02/2024"/>
        <s v="15/01/2025"/>
        <s v="26/09/2023"/>
        <s v="02/09/2022"/>
        <s v="19/09/2022"/>
        <s v="11/10/2023"/>
        <s v="12/07/2022"/>
        <s v="23/06/2023"/>
        <s v="13/03/2022"/>
        <s v="11/08/2025"/>
        <s v="12/11/2023"/>
        <s v="28/02/2023"/>
        <s v="16/08/2023"/>
        <s v="07/06/2022"/>
        <s v="25/06/2023"/>
        <s v="22/02/2023"/>
        <s v="26/05/2024"/>
        <s v="22/01/2025"/>
        <s v="08/12/2022"/>
        <s v="02/04/2023"/>
        <s v="24/12/2022"/>
        <s v="18/08/2023"/>
        <s v="20/03/2022"/>
        <s v="01/09/2024"/>
        <s v="23/01/2025"/>
        <s v="13/07/2023"/>
        <s v="23/10/2023"/>
        <s v="02/12/2025"/>
        <s v="12/06/2022"/>
        <s v="09/01/2022"/>
        <s v="15/12/2022"/>
        <s v="23/11/2022"/>
        <s v="06/02/2023"/>
        <s v="07/05/2023"/>
        <s v="08/04/2022"/>
        <s v="18/02/2022"/>
        <s v="27/04/2022"/>
        <s v="27/03/2022"/>
        <s v="09/10/2025"/>
        <s v="15/01/2023"/>
        <s v="26/11/2023"/>
        <s v="18/07/2022"/>
        <s v="10/12/2025"/>
        <s v="19/04/2023"/>
        <s v="09/05/2025"/>
        <s v="25/02/2024"/>
        <s v="13/05/2025"/>
        <s v="21/08/2022"/>
        <s v="10/06/2024"/>
        <s v="04/02/2025"/>
        <s v="07/10/2025"/>
        <s v="30/06/2023"/>
        <s v="21/09/2023"/>
        <s v="10/05/2023"/>
        <s v="04/05/2023"/>
        <s v="26/07/2022"/>
        <s v="17/01/2022"/>
        <s v="26/04/2022"/>
        <s v="23/12/2023"/>
        <s v="18/01/2024"/>
        <s v="16/05/2023"/>
        <s v="17/05/2022"/>
        <s v="11/06/2024"/>
        <s v="03/12/2023"/>
        <s v="21/10/2025"/>
        <s v="08/02/2025"/>
        <s v="21/05/2024"/>
        <s v="07/08/2023"/>
        <s v="11/03/2025"/>
        <s v="12/12/2022"/>
        <s v="26/02/2023"/>
        <s v="05/05/2024"/>
        <s v="16/11/2025"/>
        <s v="20/09/2024"/>
        <s v="28/09/2022"/>
        <s v="03/06/2022"/>
        <s v="18/08/2025"/>
        <s v="02/08/2025"/>
        <s v="19/11/2024"/>
        <s v="19/09/2024"/>
        <s v="25/08/2024"/>
        <s v="02/01/2023"/>
        <s v="22/01/2022"/>
        <s v="13/08/2022"/>
        <s v="23/10/2024"/>
        <s v="15/09/2024"/>
        <s v="23/03/2024"/>
        <s v="10/08/2024"/>
        <s v="14/06/2023"/>
        <s v="08/07/2024"/>
        <s v="10/10/2023"/>
        <s v="13/05/2023"/>
        <s v="20/02/2025"/>
        <s v="03/01/2025"/>
        <s v="12/10/2025"/>
        <s v="26/12/2025"/>
        <s v="30/11/2025"/>
        <s v="30/10/2024"/>
        <s v="28/10/2022"/>
        <s v="29/09/2022"/>
        <s v="29/01/2023"/>
        <s v="04/11/2023"/>
        <s v="18/06/2024"/>
        <s v="03/07/2025"/>
        <s v="21/09/2024"/>
        <s v="30/12/2023"/>
        <s v="19/02/2023"/>
        <s v="19/07/2023"/>
        <s v="23/07/2022"/>
        <s v="15/02/2024"/>
        <s v="13/09/2022"/>
        <s v="23/05/2024"/>
        <s v="20/05/2022"/>
        <s v="20/01/2025"/>
        <s v="30/12/2024"/>
        <s v="15/02/2025"/>
        <s v="15/03/2022"/>
        <s v="14/03/2025"/>
        <s v="28/02/2024"/>
        <s v="14/08/2024"/>
        <s v="07/06/2024"/>
        <s v="08/04/2024"/>
        <s v="04/01/2023"/>
        <s v="02/10/2024"/>
      </sharedItems>
    </cacheField>
    <cacheField name="Branch" numFmtId="0">
      <sharedItems count="4">
        <s v="Manila"/>
        <s v="Pampanga"/>
        <s v="Bulacan"/>
        <s v="Pangasinan"/>
      </sharedItems>
    </cacheField>
    <cacheField name="Sales" numFmtId="164">
      <sharedItems containsSemiMixedTypes="0" containsString="0" containsNumber="1" containsInteger="1" minValue="2004" maxValue="11994"/>
    </cacheField>
    <cacheField name="Profit" numFmtId="164">
      <sharedItems containsSemiMixedTypes="0" containsString="0" containsNumber="1" containsInteger="1" minValue="-4642" maxValue="10273"/>
    </cacheField>
    <cacheField name="Target Sales" numFmtId="164">
      <sharedItems containsSemiMixedTypes="0" containsString="0" containsNumber="1" containsInteger="1" minValue="4014" maxValue="9997"/>
    </cacheField>
    <cacheField name="Cost" numFmtId="0">
      <sharedItems containsSemiMixedTypes="0" containsString="0" containsNumber="1" containsInteger="1" minValue="802" maxValue="4994"/>
    </cacheField>
    <cacheField name="Expenses" numFmtId="0">
      <sharedItems containsSemiMixedTypes="0" containsString="0" containsNumber="1" containsInteger="1" minValue="200" maxValue="1999"/>
    </cacheField>
    <cacheField name="Customer Count" numFmtId="0">
      <sharedItems containsSemiMixedTypes="0" containsString="0" containsNumber="1" containsInteger="1" minValue="10" maxValue="120"/>
    </cacheField>
    <cacheField name="Customer Satisfaction" numFmtId="0">
      <sharedItems count="5">
        <s v="Service"/>
        <s v="Hygiene"/>
        <s v="Quality"/>
        <s v="Availability"/>
        <s v="Speed"/>
      </sharedItems>
    </cacheField>
    <cacheField name="Score" numFmtId="0">
      <sharedItems containsSemiMixedTypes="0" containsString="0" containsNumber="1" containsInteger="1" minValue="1" maxValue="10"/>
    </cacheField>
    <cacheField name="Month" numFmtId="0">
      <sharedItems count="12">
        <s v="March"/>
        <s v="August"/>
        <s v="July"/>
        <s v="May"/>
        <s v="October"/>
        <s v="December"/>
        <s v="June"/>
        <s v="January"/>
        <s v="November"/>
        <s v="April"/>
        <s v="September"/>
        <s v="February"/>
      </sharedItems>
    </cacheField>
  </cacheFields>
  <extLst>
    <ext xmlns:x14="http://schemas.microsoft.com/office/spreadsheetml/2009/9/main" uri="{725AE2AE-9491-48be-B2B4-4EB974FC3084}">
      <x14:pivotCacheDefinition pivotCacheId="1680105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x v="0"/>
    <x v="0"/>
    <n v="10181"/>
    <n v="8208"/>
    <n v="9526"/>
    <n v="1608"/>
    <n v="365"/>
    <n v="56"/>
    <x v="0"/>
    <n v="10"/>
    <x v="0"/>
  </r>
  <r>
    <x v="1"/>
    <x v="1"/>
    <n v="9118"/>
    <n v="3498"/>
    <n v="8954"/>
    <n v="4704"/>
    <n v="916"/>
    <n v="53"/>
    <x v="0"/>
    <n v="7"/>
    <x v="1"/>
  </r>
  <r>
    <x v="2"/>
    <x v="2"/>
    <n v="5055"/>
    <n v="-137"/>
    <n v="7415"/>
    <n v="3565"/>
    <n v="1627"/>
    <n v="70"/>
    <x v="1"/>
    <n v="5"/>
    <x v="1"/>
  </r>
  <r>
    <x v="3"/>
    <x v="0"/>
    <n v="7025"/>
    <n v="3605"/>
    <n v="7316"/>
    <n v="1767"/>
    <n v="1653"/>
    <n v="31"/>
    <x v="2"/>
    <n v="8"/>
    <x v="2"/>
  </r>
  <r>
    <x v="4"/>
    <x v="0"/>
    <n v="9813"/>
    <n v="7277"/>
    <n v="9827"/>
    <n v="2116"/>
    <n v="420"/>
    <n v="113"/>
    <x v="3"/>
    <n v="8"/>
    <x v="3"/>
  </r>
  <r>
    <x v="5"/>
    <x v="2"/>
    <n v="10395"/>
    <n v="6050"/>
    <n v="8002"/>
    <n v="2838"/>
    <n v="1507"/>
    <n v="119"/>
    <x v="3"/>
    <n v="4"/>
    <x v="4"/>
  </r>
  <r>
    <x v="6"/>
    <x v="2"/>
    <n v="11866"/>
    <n v="7521"/>
    <n v="4938"/>
    <n v="2868"/>
    <n v="1477"/>
    <n v="56"/>
    <x v="4"/>
    <n v="5"/>
    <x v="5"/>
  </r>
  <r>
    <x v="7"/>
    <x v="2"/>
    <n v="9518"/>
    <n v="7048"/>
    <n v="4136"/>
    <n v="1150"/>
    <n v="1320"/>
    <n v="112"/>
    <x v="1"/>
    <n v="8"/>
    <x v="6"/>
  </r>
  <r>
    <x v="8"/>
    <x v="2"/>
    <n v="7552"/>
    <n v="1044"/>
    <n v="7687"/>
    <n v="4605"/>
    <n v="1903"/>
    <n v="115"/>
    <x v="4"/>
    <n v="4"/>
    <x v="7"/>
  </r>
  <r>
    <x v="9"/>
    <x v="2"/>
    <n v="6037"/>
    <n v="2198"/>
    <n v="7027"/>
    <n v="3639"/>
    <n v="200"/>
    <n v="118"/>
    <x v="3"/>
    <n v="8"/>
    <x v="1"/>
  </r>
  <r>
    <x v="10"/>
    <x v="2"/>
    <n v="5899"/>
    <n v="682"/>
    <n v="9149"/>
    <n v="4310"/>
    <n v="907"/>
    <n v="51"/>
    <x v="4"/>
    <n v="9"/>
    <x v="7"/>
  </r>
  <r>
    <x v="11"/>
    <x v="3"/>
    <n v="11344"/>
    <n v="6223"/>
    <n v="7013"/>
    <n v="4186"/>
    <n v="935"/>
    <n v="81"/>
    <x v="2"/>
    <n v="5"/>
    <x v="8"/>
  </r>
  <r>
    <x v="12"/>
    <x v="1"/>
    <n v="4110"/>
    <n v="1007"/>
    <n v="4228"/>
    <n v="2048"/>
    <n v="1055"/>
    <n v="93"/>
    <x v="0"/>
    <n v="4"/>
    <x v="0"/>
  </r>
  <r>
    <x v="13"/>
    <x v="0"/>
    <n v="2497"/>
    <n v="-940"/>
    <n v="5652"/>
    <n v="2784"/>
    <n v="653"/>
    <n v="64"/>
    <x v="3"/>
    <n v="9"/>
    <x v="7"/>
  </r>
  <r>
    <x v="14"/>
    <x v="3"/>
    <n v="4994"/>
    <n v="1887"/>
    <n v="9598"/>
    <n v="2378"/>
    <n v="729"/>
    <n v="93"/>
    <x v="2"/>
    <n v="3"/>
    <x v="9"/>
  </r>
  <r>
    <x v="15"/>
    <x v="3"/>
    <n v="7828"/>
    <n v="2805"/>
    <n v="7523"/>
    <n v="3111"/>
    <n v="1912"/>
    <n v="23"/>
    <x v="4"/>
    <n v="3"/>
    <x v="7"/>
  </r>
  <r>
    <x v="16"/>
    <x v="0"/>
    <n v="11222"/>
    <n v="7133"/>
    <n v="4504"/>
    <n v="3359"/>
    <n v="730"/>
    <n v="71"/>
    <x v="2"/>
    <n v="7"/>
    <x v="7"/>
  </r>
  <r>
    <x v="17"/>
    <x v="0"/>
    <n v="4113"/>
    <n v="1516"/>
    <n v="8914"/>
    <n v="2270"/>
    <n v="327"/>
    <n v="106"/>
    <x v="4"/>
    <n v="6"/>
    <x v="10"/>
  </r>
  <r>
    <x v="18"/>
    <x v="3"/>
    <n v="9451"/>
    <n v="6810"/>
    <n v="6412"/>
    <n v="1707"/>
    <n v="934"/>
    <n v="109"/>
    <x v="1"/>
    <n v="2"/>
    <x v="11"/>
  </r>
  <r>
    <x v="19"/>
    <x v="2"/>
    <n v="6101"/>
    <n v="231"/>
    <n v="9357"/>
    <n v="4664"/>
    <n v="1206"/>
    <n v="58"/>
    <x v="1"/>
    <n v="5"/>
    <x v="2"/>
  </r>
  <r>
    <x v="20"/>
    <x v="0"/>
    <n v="10999"/>
    <n v="5504"/>
    <n v="6440"/>
    <n v="4499"/>
    <n v="996"/>
    <n v="107"/>
    <x v="0"/>
    <n v="10"/>
    <x v="4"/>
  </r>
  <r>
    <x v="21"/>
    <x v="0"/>
    <n v="7032"/>
    <n v="4575"/>
    <n v="8564"/>
    <n v="1777"/>
    <n v="680"/>
    <n v="81"/>
    <x v="0"/>
    <n v="6"/>
    <x v="3"/>
  </r>
  <r>
    <x v="22"/>
    <x v="1"/>
    <n v="9270"/>
    <n v="4359"/>
    <n v="6885"/>
    <n v="3847"/>
    <n v="1064"/>
    <n v="57"/>
    <x v="3"/>
    <n v="10"/>
    <x v="5"/>
  </r>
  <r>
    <x v="23"/>
    <x v="2"/>
    <n v="4528"/>
    <n v="1889"/>
    <n v="6326"/>
    <n v="1923"/>
    <n v="716"/>
    <n v="34"/>
    <x v="4"/>
    <n v="6"/>
    <x v="11"/>
  </r>
  <r>
    <x v="24"/>
    <x v="2"/>
    <n v="6533"/>
    <n v="2585"/>
    <n v="9205"/>
    <n v="3301"/>
    <n v="647"/>
    <n v="66"/>
    <x v="4"/>
    <n v="10"/>
    <x v="4"/>
  </r>
  <r>
    <x v="25"/>
    <x v="2"/>
    <n v="6619"/>
    <n v="4075"/>
    <n v="8831"/>
    <n v="1447"/>
    <n v="1097"/>
    <n v="31"/>
    <x v="2"/>
    <n v="9"/>
    <x v="9"/>
  </r>
  <r>
    <x v="26"/>
    <x v="1"/>
    <n v="8310"/>
    <n v="4334"/>
    <n v="9863"/>
    <n v="2927"/>
    <n v="1049"/>
    <n v="103"/>
    <x v="4"/>
    <n v="9"/>
    <x v="5"/>
  </r>
  <r>
    <x v="27"/>
    <x v="0"/>
    <n v="4176"/>
    <n v="-2355"/>
    <n v="7169"/>
    <n v="4696"/>
    <n v="1835"/>
    <n v="51"/>
    <x v="4"/>
    <n v="6"/>
    <x v="4"/>
  </r>
  <r>
    <x v="28"/>
    <x v="1"/>
    <n v="11870"/>
    <n v="7183"/>
    <n v="4753"/>
    <n v="3557"/>
    <n v="1130"/>
    <n v="28"/>
    <x v="3"/>
    <n v="10"/>
    <x v="3"/>
  </r>
  <r>
    <x v="29"/>
    <x v="0"/>
    <n v="11799"/>
    <n v="8636"/>
    <n v="6114"/>
    <n v="1432"/>
    <n v="1731"/>
    <n v="48"/>
    <x v="1"/>
    <n v="2"/>
    <x v="2"/>
  </r>
  <r>
    <x v="30"/>
    <x v="0"/>
    <n v="9177"/>
    <n v="3789"/>
    <n v="7866"/>
    <n v="4577"/>
    <n v="811"/>
    <n v="66"/>
    <x v="0"/>
    <n v="8"/>
    <x v="0"/>
  </r>
  <r>
    <x v="31"/>
    <x v="0"/>
    <n v="6760"/>
    <n v="1914"/>
    <n v="4444"/>
    <n v="3693"/>
    <n v="1153"/>
    <n v="51"/>
    <x v="3"/>
    <n v="10"/>
    <x v="6"/>
  </r>
  <r>
    <x v="32"/>
    <x v="2"/>
    <n v="4437"/>
    <n v="-443"/>
    <n v="8240"/>
    <n v="3683"/>
    <n v="1197"/>
    <n v="94"/>
    <x v="0"/>
    <n v="1"/>
    <x v="2"/>
  </r>
  <r>
    <x v="33"/>
    <x v="2"/>
    <n v="3336"/>
    <n v="1687"/>
    <n v="5885"/>
    <n v="879"/>
    <n v="770"/>
    <n v="71"/>
    <x v="3"/>
    <n v="7"/>
    <x v="1"/>
  </r>
  <r>
    <x v="34"/>
    <x v="2"/>
    <n v="6859"/>
    <n v="4423"/>
    <n v="8687"/>
    <n v="1705"/>
    <n v="731"/>
    <n v="11"/>
    <x v="4"/>
    <n v="5"/>
    <x v="9"/>
  </r>
  <r>
    <x v="35"/>
    <x v="1"/>
    <n v="2111"/>
    <n v="-2549"/>
    <n v="4799"/>
    <n v="3711"/>
    <n v="949"/>
    <n v="63"/>
    <x v="2"/>
    <n v="4"/>
    <x v="4"/>
  </r>
  <r>
    <x v="36"/>
    <x v="1"/>
    <n v="11957"/>
    <n v="7897"/>
    <n v="4859"/>
    <n v="3243"/>
    <n v="817"/>
    <n v="11"/>
    <x v="4"/>
    <n v="4"/>
    <x v="10"/>
  </r>
  <r>
    <x v="37"/>
    <x v="1"/>
    <n v="11188"/>
    <n v="6368"/>
    <n v="9404"/>
    <n v="3501"/>
    <n v="1319"/>
    <n v="120"/>
    <x v="2"/>
    <n v="1"/>
    <x v="6"/>
  </r>
  <r>
    <x v="38"/>
    <x v="2"/>
    <n v="10026"/>
    <n v="5630"/>
    <n v="8300"/>
    <n v="3182"/>
    <n v="1214"/>
    <n v="103"/>
    <x v="4"/>
    <n v="6"/>
    <x v="10"/>
  </r>
  <r>
    <x v="39"/>
    <x v="0"/>
    <n v="3538"/>
    <n v="1089"/>
    <n v="8373"/>
    <n v="2142"/>
    <n v="307"/>
    <n v="25"/>
    <x v="4"/>
    <n v="8"/>
    <x v="3"/>
  </r>
  <r>
    <x v="40"/>
    <x v="1"/>
    <n v="6570"/>
    <n v="798"/>
    <n v="9855"/>
    <n v="3967"/>
    <n v="1805"/>
    <n v="48"/>
    <x v="0"/>
    <n v="3"/>
    <x v="5"/>
  </r>
  <r>
    <x v="41"/>
    <x v="3"/>
    <n v="2110"/>
    <n v="-2175"/>
    <n v="5363"/>
    <n v="3582"/>
    <n v="703"/>
    <n v="113"/>
    <x v="4"/>
    <n v="2"/>
    <x v="8"/>
  </r>
  <r>
    <x v="42"/>
    <x v="2"/>
    <n v="6981"/>
    <n v="2158"/>
    <n v="7324"/>
    <n v="3441"/>
    <n v="1382"/>
    <n v="107"/>
    <x v="3"/>
    <n v="4"/>
    <x v="6"/>
  </r>
  <r>
    <x v="43"/>
    <x v="0"/>
    <n v="10670"/>
    <n v="7447"/>
    <n v="9630"/>
    <n v="1692"/>
    <n v="1531"/>
    <n v="22"/>
    <x v="0"/>
    <n v="10"/>
    <x v="2"/>
  </r>
  <r>
    <x v="44"/>
    <x v="1"/>
    <n v="9325"/>
    <n v="3561"/>
    <n v="4412"/>
    <n v="4990"/>
    <n v="774"/>
    <n v="80"/>
    <x v="3"/>
    <n v="1"/>
    <x v="1"/>
  </r>
  <r>
    <x v="45"/>
    <x v="2"/>
    <n v="10856"/>
    <n v="6208"/>
    <n v="7424"/>
    <n v="3568"/>
    <n v="1080"/>
    <n v="84"/>
    <x v="3"/>
    <n v="7"/>
    <x v="7"/>
  </r>
  <r>
    <x v="46"/>
    <x v="3"/>
    <n v="3921"/>
    <n v="-381"/>
    <n v="7113"/>
    <n v="3198"/>
    <n v="1104"/>
    <n v="57"/>
    <x v="1"/>
    <n v="10"/>
    <x v="3"/>
  </r>
  <r>
    <x v="47"/>
    <x v="0"/>
    <n v="5796"/>
    <n v="562"/>
    <n v="8112"/>
    <n v="4673"/>
    <n v="561"/>
    <n v="88"/>
    <x v="2"/>
    <n v="4"/>
    <x v="0"/>
  </r>
  <r>
    <x v="48"/>
    <x v="3"/>
    <n v="10916"/>
    <n v="6691"/>
    <n v="6260"/>
    <n v="3418"/>
    <n v="807"/>
    <n v="86"/>
    <x v="3"/>
    <n v="7"/>
    <x v="8"/>
  </r>
  <r>
    <x v="49"/>
    <x v="1"/>
    <n v="10576"/>
    <n v="6540"/>
    <n v="7557"/>
    <n v="3427"/>
    <n v="609"/>
    <n v="11"/>
    <x v="1"/>
    <n v="1"/>
    <x v="8"/>
  </r>
  <r>
    <x v="50"/>
    <x v="3"/>
    <n v="2992"/>
    <n v="-1859"/>
    <n v="8991"/>
    <n v="2913"/>
    <n v="1938"/>
    <n v="104"/>
    <x v="0"/>
    <n v="4"/>
    <x v="5"/>
  </r>
  <r>
    <x v="51"/>
    <x v="2"/>
    <n v="4433"/>
    <n v="2385"/>
    <n v="4491"/>
    <n v="1330"/>
    <n v="718"/>
    <n v="72"/>
    <x v="0"/>
    <n v="1"/>
    <x v="1"/>
  </r>
  <r>
    <x v="52"/>
    <x v="0"/>
    <n v="8075"/>
    <n v="5531"/>
    <n v="7744"/>
    <n v="1517"/>
    <n v="1027"/>
    <n v="112"/>
    <x v="1"/>
    <n v="9"/>
    <x v="0"/>
  </r>
  <r>
    <x v="53"/>
    <x v="0"/>
    <n v="2698"/>
    <n v="-910"/>
    <n v="4022"/>
    <n v="2747"/>
    <n v="861"/>
    <n v="29"/>
    <x v="2"/>
    <n v="5"/>
    <x v="5"/>
  </r>
  <r>
    <x v="54"/>
    <x v="3"/>
    <n v="8693"/>
    <n v="4815"/>
    <n v="8579"/>
    <n v="3482"/>
    <n v="396"/>
    <n v="30"/>
    <x v="2"/>
    <n v="10"/>
    <x v="8"/>
  </r>
  <r>
    <x v="55"/>
    <x v="0"/>
    <n v="6658"/>
    <n v="4600"/>
    <n v="8496"/>
    <n v="1024"/>
    <n v="1034"/>
    <n v="110"/>
    <x v="2"/>
    <n v="2"/>
    <x v="6"/>
  </r>
  <r>
    <x v="56"/>
    <x v="3"/>
    <n v="8237"/>
    <n v="3212"/>
    <n v="7991"/>
    <n v="3640"/>
    <n v="1385"/>
    <n v="74"/>
    <x v="3"/>
    <n v="6"/>
    <x v="9"/>
  </r>
  <r>
    <x v="57"/>
    <x v="2"/>
    <n v="9914"/>
    <n v="6314"/>
    <n v="7019"/>
    <n v="3100"/>
    <n v="500"/>
    <n v="60"/>
    <x v="2"/>
    <n v="1"/>
    <x v="11"/>
  </r>
  <r>
    <x v="58"/>
    <x v="1"/>
    <n v="10377"/>
    <n v="3966"/>
    <n v="7272"/>
    <n v="4418"/>
    <n v="1993"/>
    <n v="64"/>
    <x v="3"/>
    <n v="3"/>
    <x v="6"/>
  </r>
  <r>
    <x v="59"/>
    <x v="1"/>
    <n v="4355"/>
    <n v="2401"/>
    <n v="5269"/>
    <n v="1572"/>
    <n v="382"/>
    <n v="61"/>
    <x v="3"/>
    <n v="2"/>
    <x v="4"/>
  </r>
  <r>
    <x v="60"/>
    <x v="0"/>
    <n v="5245"/>
    <n v="475"/>
    <n v="6237"/>
    <n v="4303"/>
    <n v="467"/>
    <n v="94"/>
    <x v="4"/>
    <n v="9"/>
    <x v="1"/>
  </r>
  <r>
    <x v="61"/>
    <x v="0"/>
    <n v="9503"/>
    <n v="3120"/>
    <n v="9444"/>
    <n v="4458"/>
    <n v="1925"/>
    <n v="34"/>
    <x v="0"/>
    <n v="2"/>
    <x v="5"/>
  </r>
  <r>
    <x v="62"/>
    <x v="2"/>
    <n v="5220"/>
    <n v="997"/>
    <n v="9766"/>
    <n v="3282"/>
    <n v="941"/>
    <n v="31"/>
    <x v="2"/>
    <n v="6"/>
    <x v="4"/>
  </r>
  <r>
    <x v="63"/>
    <x v="2"/>
    <n v="11901"/>
    <n v="9328"/>
    <n v="7528"/>
    <n v="2001"/>
    <n v="572"/>
    <n v="105"/>
    <x v="2"/>
    <n v="7"/>
    <x v="8"/>
  </r>
  <r>
    <x v="64"/>
    <x v="2"/>
    <n v="4670"/>
    <n v="885"/>
    <n v="6663"/>
    <n v="2370"/>
    <n v="1415"/>
    <n v="74"/>
    <x v="0"/>
    <n v="7"/>
    <x v="3"/>
  </r>
  <r>
    <x v="65"/>
    <x v="1"/>
    <n v="5396"/>
    <n v="2034"/>
    <n v="6738"/>
    <n v="2458"/>
    <n v="904"/>
    <n v="96"/>
    <x v="4"/>
    <n v="6"/>
    <x v="6"/>
  </r>
  <r>
    <x v="66"/>
    <x v="2"/>
    <n v="4191"/>
    <n v="-1490"/>
    <n v="6089"/>
    <n v="3968"/>
    <n v="1713"/>
    <n v="108"/>
    <x v="0"/>
    <n v="4"/>
    <x v="6"/>
  </r>
  <r>
    <x v="67"/>
    <x v="3"/>
    <n v="9039"/>
    <n v="3493"/>
    <n v="8858"/>
    <n v="4834"/>
    <n v="712"/>
    <n v="75"/>
    <x v="1"/>
    <n v="6"/>
    <x v="2"/>
  </r>
  <r>
    <x v="52"/>
    <x v="3"/>
    <n v="8075"/>
    <n v="2867"/>
    <n v="5764"/>
    <n v="4243"/>
    <n v="965"/>
    <n v="102"/>
    <x v="4"/>
    <n v="3"/>
    <x v="0"/>
  </r>
  <r>
    <x v="68"/>
    <x v="2"/>
    <n v="7096"/>
    <n v="4538"/>
    <n v="9849"/>
    <n v="2326"/>
    <n v="232"/>
    <n v="51"/>
    <x v="1"/>
    <n v="6"/>
    <x v="11"/>
  </r>
  <r>
    <x v="69"/>
    <x v="0"/>
    <n v="7037"/>
    <n v="5008"/>
    <n v="6936"/>
    <n v="1476"/>
    <n v="553"/>
    <n v="24"/>
    <x v="0"/>
    <n v="9"/>
    <x v="10"/>
  </r>
  <r>
    <x v="70"/>
    <x v="2"/>
    <n v="6163"/>
    <n v="700"/>
    <n v="6924"/>
    <n v="3688"/>
    <n v="1775"/>
    <n v="79"/>
    <x v="2"/>
    <n v="4"/>
    <x v="6"/>
  </r>
  <r>
    <x v="71"/>
    <x v="2"/>
    <n v="3364"/>
    <n v="1135"/>
    <n v="5879"/>
    <n v="1283"/>
    <n v="946"/>
    <n v="21"/>
    <x v="0"/>
    <n v="9"/>
    <x v="2"/>
  </r>
  <r>
    <x v="72"/>
    <x v="2"/>
    <n v="6630"/>
    <n v="5478"/>
    <n v="9770"/>
    <n v="939"/>
    <n v="213"/>
    <n v="111"/>
    <x v="4"/>
    <n v="7"/>
    <x v="7"/>
  </r>
  <r>
    <x v="20"/>
    <x v="1"/>
    <n v="10309"/>
    <n v="7538"/>
    <n v="6344"/>
    <n v="1243"/>
    <n v="1528"/>
    <n v="21"/>
    <x v="2"/>
    <n v="3"/>
    <x v="4"/>
  </r>
  <r>
    <x v="73"/>
    <x v="3"/>
    <n v="2920"/>
    <n v="-1999"/>
    <n v="5013"/>
    <n v="4123"/>
    <n v="796"/>
    <n v="36"/>
    <x v="4"/>
    <n v="4"/>
    <x v="10"/>
  </r>
  <r>
    <x v="74"/>
    <x v="3"/>
    <n v="7928"/>
    <n v="3425"/>
    <n v="9345"/>
    <n v="3679"/>
    <n v="824"/>
    <n v="62"/>
    <x v="0"/>
    <n v="1"/>
    <x v="6"/>
  </r>
  <r>
    <x v="75"/>
    <x v="3"/>
    <n v="2190"/>
    <n v="-1827"/>
    <n v="5315"/>
    <n v="3083"/>
    <n v="934"/>
    <n v="40"/>
    <x v="3"/>
    <n v="10"/>
    <x v="0"/>
  </r>
  <r>
    <x v="76"/>
    <x v="1"/>
    <n v="7468"/>
    <n v="2010"/>
    <n v="7329"/>
    <n v="4498"/>
    <n v="960"/>
    <n v="48"/>
    <x v="1"/>
    <n v="6"/>
    <x v="3"/>
  </r>
  <r>
    <x v="77"/>
    <x v="2"/>
    <n v="10641"/>
    <n v="5828"/>
    <n v="5772"/>
    <n v="4048"/>
    <n v="765"/>
    <n v="68"/>
    <x v="2"/>
    <n v="8"/>
    <x v="0"/>
  </r>
  <r>
    <x v="78"/>
    <x v="1"/>
    <n v="7356"/>
    <n v="3619"/>
    <n v="6317"/>
    <n v="3227"/>
    <n v="510"/>
    <n v="68"/>
    <x v="4"/>
    <n v="2"/>
    <x v="7"/>
  </r>
  <r>
    <x v="79"/>
    <x v="0"/>
    <n v="8657"/>
    <n v="5920"/>
    <n v="9581"/>
    <n v="1982"/>
    <n v="755"/>
    <n v="87"/>
    <x v="1"/>
    <n v="6"/>
    <x v="0"/>
  </r>
  <r>
    <x v="80"/>
    <x v="1"/>
    <n v="3375"/>
    <n v="-302"/>
    <n v="7343"/>
    <n v="2298"/>
    <n v="1379"/>
    <n v="17"/>
    <x v="2"/>
    <n v="5"/>
    <x v="7"/>
  </r>
  <r>
    <x v="81"/>
    <x v="0"/>
    <n v="4946"/>
    <n v="3332"/>
    <n v="4282"/>
    <n v="910"/>
    <n v="704"/>
    <n v="64"/>
    <x v="0"/>
    <n v="6"/>
    <x v="9"/>
  </r>
  <r>
    <x v="82"/>
    <x v="1"/>
    <n v="3653"/>
    <n v="1329"/>
    <n v="6675"/>
    <n v="1328"/>
    <n v="996"/>
    <n v="35"/>
    <x v="3"/>
    <n v="5"/>
    <x v="6"/>
  </r>
  <r>
    <x v="83"/>
    <x v="2"/>
    <n v="3944"/>
    <n v="-1644"/>
    <n v="6044"/>
    <n v="4191"/>
    <n v="1397"/>
    <n v="55"/>
    <x v="4"/>
    <n v="4"/>
    <x v="0"/>
  </r>
  <r>
    <x v="84"/>
    <x v="2"/>
    <n v="9450"/>
    <n v="6761"/>
    <n v="8893"/>
    <n v="1987"/>
    <n v="702"/>
    <n v="57"/>
    <x v="1"/>
    <n v="4"/>
    <x v="8"/>
  </r>
  <r>
    <x v="85"/>
    <x v="0"/>
    <n v="11301"/>
    <n v="8497"/>
    <n v="9368"/>
    <n v="1315"/>
    <n v="1489"/>
    <n v="118"/>
    <x v="0"/>
    <n v="8"/>
    <x v="11"/>
  </r>
  <r>
    <x v="86"/>
    <x v="2"/>
    <n v="4255"/>
    <n v="-1565"/>
    <n v="7281"/>
    <n v="4122"/>
    <n v="1698"/>
    <n v="66"/>
    <x v="3"/>
    <n v="10"/>
    <x v="2"/>
  </r>
  <r>
    <x v="87"/>
    <x v="1"/>
    <n v="2980"/>
    <n v="-1855"/>
    <n v="5981"/>
    <n v="3489"/>
    <n v="1346"/>
    <n v="17"/>
    <x v="4"/>
    <n v="9"/>
    <x v="5"/>
  </r>
  <r>
    <x v="88"/>
    <x v="1"/>
    <n v="3777"/>
    <n v="204"/>
    <n v="7199"/>
    <n v="1649"/>
    <n v="1924"/>
    <n v="96"/>
    <x v="2"/>
    <n v="4"/>
    <x v="2"/>
  </r>
  <r>
    <x v="89"/>
    <x v="0"/>
    <n v="4727"/>
    <n v="1889"/>
    <n v="8877"/>
    <n v="2515"/>
    <n v="323"/>
    <n v="57"/>
    <x v="1"/>
    <n v="2"/>
    <x v="10"/>
  </r>
  <r>
    <x v="90"/>
    <x v="3"/>
    <n v="6695"/>
    <n v="4180"/>
    <n v="4146"/>
    <n v="2187"/>
    <n v="328"/>
    <n v="105"/>
    <x v="3"/>
    <n v="8"/>
    <x v="6"/>
  </r>
  <r>
    <x v="22"/>
    <x v="1"/>
    <n v="5231"/>
    <n v="1316"/>
    <n v="5439"/>
    <n v="2935"/>
    <n v="980"/>
    <n v="37"/>
    <x v="3"/>
    <n v="8"/>
    <x v="5"/>
  </r>
  <r>
    <x v="91"/>
    <x v="3"/>
    <n v="2189"/>
    <n v="185"/>
    <n v="5747"/>
    <n v="1142"/>
    <n v="862"/>
    <n v="76"/>
    <x v="2"/>
    <n v="5"/>
    <x v="8"/>
  </r>
  <r>
    <x v="92"/>
    <x v="1"/>
    <n v="4445"/>
    <n v="1057"/>
    <n v="8130"/>
    <n v="2701"/>
    <n v="687"/>
    <n v="68"/>
    <x v="1"/>
    <n v="8"/>
    <x v="2"/>
  </r>
  <r>
    <x v="93"/>
    <x v="3"/>
    <n v="9641"/>
    <n v="5703"/>
    <n v="6431"/>
    <n v="2313"/>
    <n v="1625"/>
    <n v="19"/>
    <x v="0"/>
    <n v="1"/>
    <x v="0"/>
  </r>
  <r>
    <x v="94"/>
    <x v="3"/>
    <n v="2181"/>
    <n v="-1299"/>
    <n v="4058"/>
    <n v="1506"/>
    <n v="1974"/>
    <n v="106"/>
    <x v="2"/>
    <n v="2"/>
    <x v="8"/>
  </r>
  <r>
    <x v="95"/>
    <x v="0"/>
    <n v="5697"/>
    <n v="2334"/>
    <n v="6059"/>
    <n v="2137"/>
    <n v="1226"/>
    <n v="91"/>
    <x v="3"/>
    <n v="6"/>
    <x v="5"/>
  </r>
  <r>
    <x v="96"/>
    <x v="1"/>
    <n v="11134"/>
    <n v="8249"/>
    <n v="6833"/>
    <n v="2609"/>
    <n v="276"/>
    <n v="67"/>
    <x v="1"/>
    <n v="6"/>
    <x v="4"/>
  </r>
  <r>
    <x v="97"/>
    <x v="3"/>
    <n v="6087"/>
    <n v="2483"/>
    <n v="4186"/>
    <n v="3274"/>
    <n v="330"/>
    <n v="53"/>
    <x v="2"/>
    <n v="1"/>
    <x v="0"/>
  </r>
  <r>
    <x v="98"/>
    <x v="2"/>
    <n v="3550"/>
    <n v="-2695"/>
    <n v="9246"/>
    <n v="4289"/>
    <n v="1956"/>
    <n v="69"/>
    <x v="2"/>
    <n v="10"/>
    <x v="7"/>
  </r>
  <r>
    <x v="81"/>
    <x v="0"/>
    <n v="10855"/>
    <n v="8065"/>
    <n v="5049"/>
    <n v="2300"/>
    <n v="490"/>
    <n v="85"/>
    <x v="4"/>
    <n v="5"/>
    <x v="9"/>
  </r>
  <r>
    <x v="99"/>
    <x v="0"/>
    <n v="2264"/>
    <n v="-2233"/>
    <n v="8708"/>
    <n v="2728"/>
    <n v="1769"/>
    <n v="33"/>
    <x v="2"/>
    <n v="2"/>
    <x v="9"/>
  </r>
  <r>
    <x v="100"/>
    <x v="1"/>
    <n v="9634"/>
    <n v="6569"/>
    <n v="4285"/>
    <n v="1217"/>
    <n v="1848"/>
    <n v="54"/>
    <x v="4"/>
    <n v="5"/>
    <x v="2"/>
  </r>
  <r>
    <x v="101"/>
    <x v="3"/>
    <n v="4558"/>
    <n v="357"/>
    <n v="8114"/>
    <n v="2886"/>
    <n v="1315"/>
    <n v="79"/>
    <x v="3"/>
    <n v="6"/>
    <x v="9"/>
  </r>
  <r>
    <x v="102"/>
    <x v="1"/>
    <n v="9699"/>
    <n v="3825"/>
    <n v="9561"/>
    <n v="4163"/>
    <n v="1711"/>
    <n v="117"/>
    <x v="2"/>
    <n v="6"/>
    <x v="5"/>
  </r>
  <r>
    <x v="103"/>
    <x v="1"/>
    <n v="8458"/>
    <n v="5338"/>
    <n v="5346"/>
    <n v="2182"/>
    <n v="938"/>
    <n v="52"/>
    <x v="4"/>
    <n v="1"/>
    <x v="5"/>
  </r>
  <r>
    <x v="104"/>
    <x v="2"/>
    <n v="6773"/>
    <n v="2242"/>
    <n v="4997"/>
    <n v="2538"/>
    <n v="1993"/>
    <n v="115"/>
    <x v="2"/>
    <n v="10"/>
    <x v="3"/>
  </r>
  <r>
    <x v="105"/>
    <x v="3"/>
    <n v="5316"/>
    <n v="347"/>
    <n v="8555"/>
    <n v="4165"/>
    <n v="804"/>
    <n v="78"/>
    <x v="4"/>
    <n v="4"/>
    <x v="11"/>
  </r>
  <r>
    <x v="106"/>
    <x v="3"/>
    <n v="2771"/>
    <n v="661"/>
    <n v="9469"/>
    <n v="1156"/>
    <n v="954"/>
    <n v="40"/>
    <x v="2"/>
    <n v="4"/>
    <x v="5"/>
  </r>
  <r>
    <x v="107"/>
    <x v="0"/>
    <n v="9133"/>
    <n v="3805"/>
    <n v="8503"/>
    <n v="4989"/>
    <n v="339"/>
    <n v="86"/>
    <x v="1"/>
    <n v="6"/>
    <x v="11"/>
  </r>
  <r>
    <x v="108"/>
    <x v="3"/>
    <n v="7068"/>
    <n v="2614"/>
    <n v="8014"/>
    <n v="3861"/>
    <n v="593"/>
    <n v="45"/>
    <x v="0"/>
    <n v="2"/>
    <x v="0"/>
  </r>
  <r>
    <x v="109"/>
    <x v="2"/>
    <n v="11636"/>
    <n v="7721"/>
    <n v="8155"/>
    <n v="2421"/>
    <n v="1494"/>
    <n v="38"/>
    <x v="2"/>
    <n v="1"/>
    <x v="3"/>
  </r>
  <r>
    <x v="110"/>
    <x v="2"/>
    <n v="5339"/>
    <n v="628"/>
    <n v="8385"/>
    <n v="2743"/>
    <n v="1968"/>
    <n v="107"/>
    <x v="1"/>
    <n v="1"/>
    <x v="4"/>
  </r>
  <r>
    <x v="111"/>
    <x v="2"/>
    <n v="4623"/>
    <n v="1918"/>
    <n v="9688"/>
    <n v="1601"/>
    <n v="1104"/>
    <n v="88"/>
    <x v="3"/>
    <n v="5"/>
    <x v="11"/>
  </r>
  <r>
    <x v="112"/>
    <x v="2"/>
    <n v="9156"/>
    <n v="3312"/>
    <n v="5252"/>
    <n v="4098"/>
    <n v="1746"/>
    <n v="70"/>
    <x v="3"/>
    <n v="1"/>
    <x v="8"/>
  </r>
  <r>
    <x v="113"/>
    <x v="2"/>
    <n v="11404"/>
    <n v="6178"/>
    <n v="8036"/>
    <n v="4500"/>
    <n v="726"/>
    <n v="57"/>
    <x v="4"/>
    <n v="3"/>
    <x v="6"/>
  </r>
  <r>
    <x v="114"/>
    <x v="2"/>
    <n v="5096"/>
    <n v="-457"/>
    <n v="5007"/>
    <n v="4899"/>
    <n v="654"/>
    <n v="85"/>
    <x v="0"/>
    <n v="7"/>
    <x v="7"/>
  </r>
  <r>
    <x v="115"/>
    <x v="0"/>
    <n v="3519"/>
    <n v="-43"/>
    <n v="8266"/>
    <n v="2171"/>
    <n v="1391"/>
    <n v="78"/>
    <x v="1"/>
    <n v="10"/>
    <x v="11"/>
  </r>
  <r>
    <x v="116"/>
    <x v="0"/>
    <n v="3582"/>
    <n v="612"/>
    <n v="9442"/>
    <n v="1022"/>
    <n v="1948"/>
    <n v="38"/>
    <x v="0"/>
    <n v="9"/>
    <x v="4"/>
  </r>
  <r>
    <x v="117"/>
    <x v="0"/>
    <n v="11233"/>
    <n v="7160"/>
    <n v="5941"/>
    <n v="2740"/>
    <n v="1333"/>
    <n v="75"/>
    <x v="4"/>
    <n v="2"/>
    <x v="1"/>
  </r>
  <r>
    <x v="118"/>
    <x v="1"/>
    <n v="9214"/>
    <n v="4131"/>
    <n v="7478"/>
    <n v="4027"/>
    <n v="1056"/>
    <n v="51"/>
    <x v="1"/>
    <n v="5"/>
    <x v="2"/>
  </r>
  <r>
    <x v="119"/>
    <x v="0"/>
    <n v="6542"/>
    <n v="466"/>
    <n v="6401"/>
    <n v="4248"/>
    <n v="1828"/>
    <n v="52"/>
    <x v="2"/>
    <n v="2"/>
    <x v="4"/>
  </r>
  <r>
    <x v="120"/>
    <x v="3"/>
    <n v="3375"/>
    <n v="-3168"/>
    <n v="4554"/>
    <n v="4952"/>
    <n v="1591"/>
    <n v="60"/>
    <x v="3"/>
    <n v="8"/>
    <x v="0"/>
  </r>
  <r>
    <x v="121"/>
    <x v="1"/>
    <n v="3219"/>
    <n v="777"/>
    <n v="8229"/>
    <n v="1391"/>
    <n v="1051"/>
    <n v="105"/>
    <x v="0"/>
    <n v="4"/>
    <x v="6"/>
  </r>
  <r>
    <x v="122"/>
    <x v="0"/>
    <n v="10571"/>
    <n v="8052"/>
    <n v="5932"/>
    <n v="2263"/>
    <n v="256"/>
    <n v="110"/>
    <x v="2"/>
    <n v="10"/>
    <x v="10"/>
  </r>
  <r>
    <x v="123"/>
    <x v="3"/>
    <n v="8009"/>
    <n v="1593"/>
    <n v="7678"/>
    <n v="4857"/>
    <n v="1559"/>
    <n v="32"/>
    <x v="3"/>
    <n v="6"/>
    <x v="10"/>
  </r>
  <r>
    <x v="124"/>
    <x v="3"/>
    <n v="4443"/>
    <n v="-1210"/>
    <n v="7367"/>
    <n v="4960"/>
    <n v="693"/>
    <n v="61"/>
    <x v="3"/>
    <n v="1"/>
    <x v="10"/>
  </r>
  <r>
    <x v="125"/>
    <x v="3"/>
    <n v="10233"/>
    <n v="6221"/>
    <n v="5176"/>
    <n v="2132"/>
    <n v="1880"/>
    <n v="109"/>
    <x v="4"/>
    <n v="6"/>
    <x v="8"/>
  </r>
  <r>
    <x v="126"/>
    <x v="0"/>
    <n v="7131"/>
    <n v="2511"/>
    <n v="6299"/>
    <n v="2878"/>
    <n v="1742"/>
    <n v="96"/>
    <x v="4"/>
    <n v="8"/>
    <x v="6"/>
  </r>
  <r>
    <x v="120"/>
    <x v="1"/>
    <n v="5904"/>
    <n v="4253"/>
    <n v="5120"/>
    <n v="1111"/>
    <n v="540"/>
    <n v="44"/>
    <x v="4"/>
    <n v="8"/>
    <x v="0"/>
  </r>
  <r>
    <x v="127"/>
    <x v="3"/>
    <n v="8833"/>
    <n v="6471"/>
    <n v="8661"/>
    <n v="895"/>
    <n v="1467"/>
    <n v="27"/>
    <x v="2"/>
    <n v="5"/>
    <x v="11"/>
  </r>
  <r>
    <x v="128"/>
    <x v="3"/>
    <n v="11342"/>
    <n v="6109"/>
    <n v="4812"/>
    <n v="3242"/>
    <n v="1991"/>
    <n v="51"/>
    <x v="1"/>
    <n v="7"/>
    <x v="4"/>
  </r>
  <r>
    <x v="129"/>
    <x v="0"/>
    <n v="4362"/>
    <n v="910"/>
    <n v="6354"/>
    <n v="2559"/>
    <n v="893"/>
    <n v="17"/>
    <x v="1"/>
    <n v="6"/>
    <x v="2"/>
  </r>
  <r>
    <x v="130"/>
    <x v="0"/>
    <n v="5384"/>
    <n v="1811"/>
    <n v="7312"/>
    <n v="3258"/>
    <n v="315"/>
    <n v="24"/>
    <x v="0"/>
    <n v="9"/>
    <x v="6"/>
  </r>
  <r>
    <x v="131"/>
    <x v="0"/>
    <n v="10452"/>
    <n v="5547"/>
    <n v="5866"/>
    <n v="3323"/>
    <n v="1582"/>
    <n v="44"/>
    <x v="2"/>
    <n v="2"/>
    <x v="5"/>
  </r>
  <r>
    <x v="132"/>
    <x v="3"/>
    <n v="10775"/>
    <n v="6371"/>
    <n v="7672"/>
    <n v="4117"/>
    <n v="287"/>
    <n v="12"/>
    <x v="2"/>
    <n v="3"/>
    <x v="9"/>
  </r>
  <r>
    <x v="133"/>
    <x v="3"/>
    <n v="5410"/>
    <n v="1634"/>
    <n v="7979"/>
    <n v="1818"/>
    <n v="1958"/>
    <n v="83"/>
    <x v="1"/>
    <n v="1"/>
    <x v="3"/>
  </r>
  <r>
    <x v="134"/>
    <x v="2"/>
    <n v="8828"/>
    <n v="3075"/>
    <n v="5037"/>
    <n v="4884"/>
    <n v="869"/>
    <n v="67"/>
    <x v="0"/>
    <n v="8"/>
    <x v="2"/>
  </r>
  <r>
    <x v="135"/>
    <x v="1"/>
    <n v="10920"/>
    <n v="6289"/>
    <n v="6371"/>
    <n v="3356"/>
    <n v="1275"/>
    <n v="25"/>
    <x v="0"/>
    <n v="5"/>
    <x v="7"/>
  </r>
  <r>
    <x v="136"/>
    <x v="2"/>
    <n v="11136"/>
    <n v="7507"/>
    <n v="5766"/>
    <n v="1749"/>
    <n v="1880"/>
    <n v="34"/>
    <x v="4"/>
    <n v="10"/>
    <x v="10"/>
  </r>
  <r>
    <x v="137"/>
    <x v="0"/>
    <n v="6678"/>
    <n v="1075"/>
    <n v="9044"/>
    <n v="4334"/>
    <n v="1269"/>
    <n v="101"/>
    <x v="0"/>
    <n v="8"/>
    <x v="4"/>
  </r>
  <r>
    <x v="138"/>
    <x v="1"/>
    <n v="6125"/>
    <n v="2636"/>
    <n v="4186"/>
    <n v="2528"/>
    <n v="961"/>
    <n v="27"/>
    <x v="2"/>
    <n v="4"/>
    <x v="10"/>
  </r>
  <r>
    <x v="139"/>
    <x v="3"/>
    <n v="7620"/>
    <n v="2815"/>
    <n v="4761"/>
    <n v="4445"/>
    <n v="360"/>
    <n v="52"/>
    <x v="4"/>
    <n v="1"/>
    <x v="3"/>
  </r>
  <r>
    <x v="138"/>
    <x v="2"/>
    <n v="4339"/>
    <n v="-883"/>
    <n v="4762"/>
    <n v="4008"/>
    <n v="1214"/>
    <n v="13"/>
    <x v="3"/>
    <n v="8"/>
    <x v="10"/>
  </r>
  <r>
    <x v="140"/>
    <x v="3"/>
    <n v="11871"/>
    <n v="5978"/>
    <n v="4262"/>
    <n v="4523"/>
    <n v="1370"/>
    <n v="50"/>
    <x v="1"/>
    <n v="4"/>
    <x v="10"/>
  </r>
  <r>
    <x v="141"/>
    <x v="1"/>
    <n v="11680"/>
    <n v="5632"/>
    <n v="6285"/>
    <n v="4902"/>
    <n v="1146"/>
    <n v="22"/>
    <x v="0"/>
    <n v="4"/>
    <x v="9"/>
  </r>
  <r>
    <x v="142"/>
    <x v="2"/>
    <n v="2891"/>
    <n v="-2564"/>
    <n v="5807"/>
    <n v="4979"/>
    <n v="476"/>
    <n v="115"/>
    <x v="3"/>
    <n v="8"/>
    <x v="8"/>
  </r>
  <r>
    <x v="143"/>
    <x v="0"/>
    <n v="7687"/>
    <n v="4657"/>
    <n v="8576"/>
    <n v="1225"/>
    <n v="1805"/>
    <n v="81"/>
    <x v="2"/>
    <n v="8"/>
    <x v="9"/>
  </r>
  <r>
    <x v="144"/>
    <x v="2"/>
    <n v="6435"/>
    <n v="475"/>
    <n v="4861"/>
    <n v="4528"/>
    <n v="1432"/>
    <n v="59"/>
    <x v="0"/>
    <n v="1"/>
    <x v="3"/>
  </r>
  <r>
    <x v="145"/>
    <x v="2"/>
    <n v="5226"/>
    <n v="807"/>
    <n v="4126"/>
    <n v="2740"/>
    <n v="1679"/>
    <n v="41"/>
    <x v="0"/>
    <n v="10"/>
    <x v="11"/>
  </r>
  <r>
    <x v="146"/>
    <x v="3"/>
    <n v="8804"/>
    <n v="6775"/>
    <n v="7269"/>
    <n v="1535"/>
    <n v="494"/>
    <n v="40"/>
    <x v="2"/>
    <n v="6"/>
    <x v="3"/>
  </r>
  <r>
    <x v="147"/>
    <x v="2"/>
    <n v="4396"/>
    <n v="-1114"/>
    <n v="9952"/>
    <n v="3919"/>
    <n v="1591"/>
    <n v="112"/>
    <x v="2"/>
    <n v="5"/>
    <x v="1"/>
  </r>
  <r>
    <x v="148"/>
    <x v="2"/>
    <n v="7474"/>
    <n v="3879"/>
    <n v="4156"/>
    <n v="1962"/>
    <n v="1633"/>
    <n v="11"/>
    <x v="4"/>
    <n v="9"/>
    <x v="10"/>
  </r>
  <r>
    <x v="149"/>
    <x v="3"/>
    <n v="11378"/>
    <n v="6764"/>
    <n v="6748"/>
    <n v="3091"/>
    <n v="1523"/>
    <n v="48"/>
    <x v="4"/>
    <n v="7"/>
    <x v="4"/>
  </r>
  <r>
    <x v="150"/>
    <x v="3"/>
    <n v="4189"/>
    <n v="-2033"/>
    <n v="5317"/>
    <n v="4847"/>
    <n v="1375"/>
    <n v="87"/>
    <x v="3"/>
    <n v="6"/>
    <x v="5"/>
  </r>
  <r>
    <x v="151"/>
    <x v="0"/>
    <n v="11173"/>
    <n v="6346"/>
    <n v="4449"/>
    <n v="4144"/>
    <n v="683"/>
    <n v="60"/>
    <x v="0"/>
    <n v="2"/>
    <x v="10"/>
  </r>
  <r>
    <x v="152"/>
    <x v="2"/>
    <n v="11589"/>
    <n v="6684"/>
    <n v="7823"/>
    <n v="4260"/>
    <n v="645"/>
    <n v="66"/>
    <x v="3"/>
    <n v="1"/>
    <x v="9"/>
  </r>
  <r>
    <x v="153"/>
    <x v="3"/>
    <n v="11184"/>
    <n v="9661"/>
    <n v="8422"/>
    <n v="1205"/>
    <n v="318"/>
    <n v="34"/>
    <x v="1"/>
    <n v="6"/>
    <x v="6"/>
  </r>
  <r>
    <x v="154"/>
    <x v="3"/>
    <n v="6029"/>
    <n v="623"/>
    <n v="9170"/>
    <n v="3544"/>
    <n v="1862"/>
    <n v="99"/>
    <x v="3"/>
    <n v="9"/>
    <x v="3"/>
  </r>
  <r>
    <x v="3"/>
    <x v="3"/>
    <n v="10142"/>
    <n v="3799"/>
    <n v="9904"/>
    <n v="4735"/>
    <n v="1608"/>
    <n v="116"/>
    <x v="1"/>
    <n v="7"/>
    <x v="2"/>
  </r>
  <r>
    <x v="155"/>
    <x v="1"/>
    <n v="3210"/>
    <n v="-2557"/>
    <n v="5891"/>
    <n v="4623"/>
    <n v="1144"/>
    <n v="91"/>
    <x v="0"/>
    <n v="3"/>
    <x v="0"/>
  </r>
  <r>
    <x v="156"/>
    <x v="3"/>
    <n v="9030"/>
    <n v="5146"/>
    <n v="6370"/>
    <n v="2822"/>
    <n v="1062"/>
    <n v="86"/>
    <x v="1"/>
    <n v="2"/>
    <x v="8"/>
  </r>
  <r>
    <x v="157"/>
    <x v="2"/>
    <n v="5506"/>
    <n v="83"/>
    <n v="8328"/>
    <n v="4453"/>
    <n v="970"/>
    <n v="44"/>
    <x v="3"/>
    <n v="8"/>
    <x v="0"/>
  </r>
  <r>
    <x v="111"/>
    <x v="2"/>
    <n v="7666"/>
    <n v="2478"/>
    <n v="8990"/>
    <n v="4191"/>
    <n v="997"/>
    <n v="91"/>
    <x v="3"/>
    <n v="7"/>
    <x v="11"/>
  </r>
  <r>
    <x v="158"/>
    <x v="0"/>
    <n v="9781"/>
    <n v="3657"/>
    <n v="4960"/>
    <n v="4978"/>
    <n v="1146"/>
    <n v="54"/>
    <x v="2"/>
    <n v="5"/>
    <x v="1"/>
  </r>
  <r>
    <x v="159"/>
    <x v="3"/>
    <n v="5546"/>
    <n v="579"/>
    <n v="9949"/>
    <n v="4011"/>
    <n v="956"/>
    <n v="51"/>
    <x v="3"/>
    <n v="1"/>
    <x v="9"/>
  </r>
  <r>
    <x v="160"/>
    <x v="2"/>
    <n v="2173"/>
    <n v="-1959"/>
    <n v="8744"/>
    <n v="2958"/>
    <n v="1174"/>
    <n v="99"/>
    <x v="0"/>
    <n v="5"/>
    <x v="4"/>
  </r>
  <r>
    <x v="161"/>
    <x v="2"/>
    <n v="8043"/>
    <n v="2295"/>
    <n v="5134"/>
    <n v="3975"/>
    <n v="1773"/>
    <n v="28"/>
    <x v="4"/>
    <n v="5"/>
    <x v="0"/>
  </r>
  <r>
    <x v="162"/>
    <x v="1"/>
    <n v="9942"/>
    <n v="4938"/>
    <n v="6567"/>
    <n v="3020"/>
    <n v="1984"/>
    <n v="79"/>
    <x v="2"/>
    <n v="10"/>
    <x v="11"/>
  </r>
  <r>
    <x v="163"/>
    <x v="2"/>
    <n v="5626"/>
    <n v="901"/>
    <n v="4749"/>
    <n v="3939"/>
    <n v="786"/>
    <n v="107"/>
    <x v="0"/>
    <n v="1"/>
    <x v="0"/>
  </r>
  <r>
    <x v="164"/>
    <x v="2"/>
    <n v="11709"/>
    <n v="7665"/>
    <n v="7945"/>
    <n v="3817"/>
    <n v="227"/>
    <n v="80"/>
    <x v="2"/>
    <n v="4"/>
    <x v="11"/>
  </r>
  <r>
    <x v="165"/>
    <x v="1"/>
    <n v="7732"/>
    <n v="6317"/>
    <n v="7386"/>
    <n v="919"/>
    <n v="496"/>
    <n v="96"/>
    <x v="1"/>
    <n v="8"/>
    <x v="7"/>
  </r>
  <r>
    <x v="166"/>
    <x v="3"/>
    <n v="5899"/>
    <n v="4277"/>
    <n v="9344"/>
    <n v="1046"/>
    <n v="576"/>
    <n v="97"/>
    <x v="4"/>
    <n v="4"/>
    <x v="4"/>
  </r>
  <r>
    <x v="167"/>
    <x v="0"/>
    <n v="8392"/>
    <n v="3712"/>
    <n v="7092"/>
    <n v="3673"/>
    <n v="1007"/>
    <n v="60"/>
    <x v="4"/>
    <n v="3"/>
    <x v="11"/>
  </r>
  <r>
    <x v="168"/>
    <x v="3"/>
    <n v="8992"/>
    <n v="3170"/>
    <n v="5800"/>
    <n v="4256"/>
    <n v="1566"/>
    <n v="14"/>
    <x v="0"/>
    <n v="4"/>
    <x v="10"/>
  </r>
  <r>
    <x v="169"/>
    <x v="1"/>
    <n v="5765"/>
    <n v="1950"/>
    <n v="6255"/>
    <n v="2125"/>
    <n v="1690"/>
    <n v="15"/>
    <x v="0"/>
    <n v="8"/>
    <x v="1"/>
  </r>
  <r>
    <x v="170"/>
    <x v="1"/>
    <n v="10349"/>
    <n v="7213"/>
    <n v="7659"/>
    <n v="2504"/>
    <n v="632"/>
    <n v="13"/>
    <x v="2"/>
    <n v="9"/>
    <x v="9"/>
  </r>
  <r>
    <x v="171"/>
    <x v="2"/>
    <n v="11478"/>
    <n v="6598"/>
    <n v="5075"/>
    <n v="3653"/>
    <n v="1227"/>
    <n v="107"/>
    <x v="2"/>
    <n v="8"/>
    <x v="3"/>
  </r>
  <r>
    <x v="172"/>
    <x v="0"/>
    <n v="11166"/>
    <n v="9206"/>
    <n v="4161"/>
    <n v="1400"/>
    <n v="560"/>
    <n v="102"/>
    <x v="4"/>
    <n v="5"/>
    <x v="10"/>
  </r>
  <r>
    <x v="173"/>
    <x v="2"/>
    <n v="4294"/>
    <n v="204"/>
    <n v="4252"/>
    <n v="3713"/>
    <n v="377"/>
    <n v="72"/>
    <x v="0"/>
    <n v="1"/>
    <x v="9"/>
  </r>
  <r>
    <x v="174"/>
    <x v="2"/>
    <n v="9265"/>
    <n v="6271"/>
    <n v="9521"/>
    <n v="1546"/>
    <n v="1448"/>
    <n v="31"/>
    <x v="4"/>
    <n v="7"/>
    <x v="7"/>
  </r>
  <r>
    <x v="175"/>
    <x v="3"/>
    <n v="11738"/>
    <n v="8958"/>
    <n v="4980"/>
    <n v="2498"/>
    <n v="282"/>
    <n v="86"/>
    <x v="4"/>
    <n v="9"/>
    <x v="9"/>
  </r>
  <r>
    <x v="176"/>
    <x v="3"/>
    <n v="10213"/>
    <n v="7564"/>
    <n v="8172"/>
    <n v="1534"/>
    <n v="1115"/>
    <n v="46"/>
    <x v="3"/>
    <n v="2"/>
    <x v="11"/>
  </r>
  <r>
    <x v="177"/>
    <x v="2"/>
    <n v="2669"/>
    <n v="-1459"/>
    <n v="4392"/>
    <n v="2938"/>
    <n v="1190"/>
    <n v="32"/>
    <x v="3"/>
    <n v="7"/>
    <x v="5"/>
  </r>
  <r>
    <x v="178"/>
    <x v="3"/>
    <n v="8992"/>
    <n v="5180"/>
    <n v="8380"/>
    <n v="2961"/>
    <n v="851"/>
    <n v="35"/>
    <x v="2"/>
    <n v="1"/>
    <x v="4"/>
  </r>
  <r>
    <x v="179"/>
    <x v="2"/>
    <n v="3045"/>
    <n v="624"/>
    <n v="5471"/>
    <n v="1439"/>
    <n v="982"/>
    <n v="61"/>
    <x v="3"/>
    <n v="9"/>
    <x v="7"/>
  </r>
  <r>
    <x v="180"/>
    <x v="0"/>
    <n v="10219"/>
    <n v="4641"/>
    <n v="9752"/>
    <n v="3636"/>
    <n v="1942"/>
    <n v="112"/>
    <x v="0"/>
    <n v="6"/>
    <x v="0"/>
  </r>
  <r>
    <x v="181"/>
    <x v="3"/>
    <n v="2361"/>
    <n v="-2308"/>
    <n v="9800"/>
    <n v="4085"/>
    <n v="584"/>
    <n v="71"/>
    <x v="0"/>
    <n v="2"/>
    <x v="4"/>
  </r>
  <r>
    <x v="182"/>
    <x v="2"/>
    <n v="7086"/>
    <n v="3527"/>
    <n v="8245"/>
    <n v="2354"/>
    <n v="1205"/>
    <n v="13"/>
    <x v="2"/>
    <n v="7"/>
    <x v="0"/>
  </r>
  <r>
    <x v="183"/>
    <x v="2"/>
    <n v="4775"/>
    <n v="1976"/>
    <n v="5130"/>
    <n v="1561"/>
    <n v="1238"/>
    <n v="51"/>
    <x v="1"/>
    <n v="2"/>
    <x v="7"/>
  </r>
  <r>
    <x v="184"/>
    <x v="1"/>
    <n v="11557"/>
    <n v="9036"/>
    <n v="7031"/>
    <n v="901"/>
    <n v="1620"/>
    <n v="79"/>
    <x v="1"/>
    <n v="1"/>
    <x v="9"/>
  </r>
  <r>
    <x v="185"/>
    <x v="0"/>
    <n v="3864"/>
    <n v="-1047"/>
    <n v="5651"/>
    <n v="3409"/>
    <n v="1502"/>
    <n v="14"/>
    <x v="3"/>
    <n v="10"/>
    <x v="3"/>
  </r>
  <r>
    <x v="121"/>
    <x v="0"/>
    <n v="7057"/>
    <n v="3870"/>
    <n v="4084"/>
    <n v="1493"/>
    <n v="1694"/>
    <n v="39"/>
    <x v="3"/>
    <n v="7"/>
    <x v="6"/>
  </r>
  <r>
    <x v="186"/>
    <x v="0"/>
    <n v="10973"/>
    <n v="8189"/>
    <n v="8715"/>
    <n v="2421"/>
    <n v="363"/>
    <n v="23"/>
    <x v="0"/>
    <n v="2"/>
    <x v="0"/>
  </r>
  <r>
    <x v="187"/>
    <x v="1"/>
    <n v="10742"/>
    <n v="6411"/>
    <n v="7018"/>
    <n v="2525"/>
    <n v="1806"/>
    <n v="81"/>
    <x v="2"/>
    <n v="10"/>
    <x v="6"/>
  </r>
  <r>
    <x v="188"/>
    <x v="0"/>
    <n v="4227"/>
    <n v="506"/>
    <n v="9046"/>
    <n v="3340"/>
    <n v="381"/>
    <n v="49"/>
    <x v="3"/>
    <n v="8"/>
    <x v="0"/>
  </r>
  <r>
    <x v="189"/>
    <x v="0"/>
    <n v="7597"/>
    <n v="5563"/>
    <n v="5357"/>
    <n v="1251"/>
    <n v="783"/>
    <n v="105"/>
    <x v="3"/>
    <n v="2"/>
    <x v="9"/>
  </r>
  <r>
    <x v="190"/>
    <x v="3"/>
    <n v="7169"/>
    <n v="1951"/>
    <n v="6907"/>
    <n v="4635"/>
    <n v="583"/>
    <n v="71"/>
    <x v="0"/>
    <n v="2"/>
    <x v="3"/>
  </r>
  <r>
    <x v="191"/>
    <x v="3"/>
    <n v="10789"/>
    <n v="6850"/>
    <n v="8569"/>
    <n v="3166"/>
    <n v="773"/>
    <n v="16"/>
    <x v="4"/>
    <n v="8"/>
    <x v="8"/>
  </r>
  <r>
    <x v="146"/>
    <x v="2"/>
    <n v="11135"/>
    <n v="5684"/>
    <n v="7275"/>
    <n v="4155"/>
    <n v="1296"/>
    <n v="30"/>
    <x v="1"/>
    <n v="4"/>
    <x v="3"/>
  </r>
  <r>
    <x v="192"/>
    <x v="3"/>
    <n v="10357"/>
    <n v="6424"/>
    <n v="8148"/>
    <n v="2196"/>
    <n v="1737"/>
    <n v="35"/>
    <x v="3"/>
    <n v="2"/>
    <x v="3"/>
  </r>
  <r>
    <x v="71"/>
    <x v="3"/>
    <n v="5490"/>
    <n v="1642"/>
    <n v="5341"/>
    <n v="3237"/>
    <n v="611"/>
    <n v="53"/>
    <x v="2"/>
    <n v="2"/>
    <x v="2"/>
  </r>
  <r>
    <x v="193"/>
    <x v="1"/>
    <n v="3303"/>
    <n v="-1194"/>
    <n v="9504"/>
    <n v="4268"/>
    <n v="229"/>
    <n v="88"/>
    <x v="2"/>
    <n v="8"/>
    <x v="11"/>
  </r>
  <r>
    <x v="194"/>
    <x v="1"/>
    <n v="3919"/>
    <n v="-2012"/>
    <n v="6493"/>
    <n v="3989"/>
    <n v="1942"/>
    <n v="103"/>
    <x v="3"/>
    <n v="2"/>
    <x v="8"/>
  </r>
  <r>
    <x v="195"/>
    <x v="0"/>
    <n v="2428"/>
    <n v="-1173"/>
    <n v="8495"/>
    <n v="2725"/>
    <n v="876"/>
    <n v="63"/>
    <x v="4"/>
    <n v="1"/>
    <x v="4"/>
  </r>
  <r>
    <x v="196"/>
    <x v="2"/>
    <n v="9809"/>
    <n v="6624"/>
    <n v="8543"/>
    <n v="1235"/>
    <n v="1950"/>
    <n v="60"/>
    <x v="0"/>
    <n v="9"/>
    <x v="4"/>
  </r>
  <r>
    <x v="197"/>
    <x v="2"/>
    <n v="4643"/>
    <n v="-1077"/>
    <n v="4396"/>
    <n v="4256"/>
    <n v="1464"/>
    <n v="66"/>
    <x v="0"/>
    <n v="8"/>
    <x v="8"/>
  </r>
  <r>
    <x v="198"/>
    <x v="3"/>
    <n v="4310"/>
    <n v="435"/>
    <n v="5524"/>
    <n v="2380"/>
    <n v="1495"/>
    <n v="79"/>
    <x v="0"/>
    <n v="2"/>
    <x v="0"/>
  </r>
  <r>
    <x v="199"/>
    <x v="0"/>
    <n v="4323"/>
    <n v="-415"/>
    <n v="6503"/>
    <n v="3470"/>
    <n v="1268"/>
    <n v="28"/>
    <x v="3"/>
    <n v="9"/>
    <x v="9"/>
  </r>
  <r>
    <x v="200"/>
    <x v="2"/>
    <n v="5165"/>
    <n v="209"/>
    <n v="4049"/>
    <n v="4643"/>
    <n v="313"/>
    <n v="107"/>
    <x v="2"/>
    <n v="6"/>
    <x v="0"/>
  </r>
  <r>
    <x v="201"/>
    <x v="1"/>
    <n v="3981"/>
    <n v="1447"/>
    <n v="9487"/>
    <n v="851"/>
    <n v="1683"/>
    <n v="95"/>
    <x v="4"/>
    <n v="7"/>
    <x v="11"/>
  </r>
  <r>
    <x v="202"/>
    <x v="3"/>
    <n v="7088"/>
    <n v="1859"/>
    <n v="8091"/>
    <n v="4820"/>
    <n v="409"/>
    <n v="97"/>
    <x v="1"/>
    <n v="2"/>
    <x v="0"/>
  </r>
  <r>
    <x v="203"/>
    <x v="1"/>
    <n v="10293"/>
    <n v="5701"/>
    <n v="4057"/>
    <n v="4361"/>
    <n v="231"/>
    <n v="92"/>
    <x v="0"/>
    <n v="1"/>
    <x v="9"/>
  </r>
  <r>
    <x v="204"/>
    <x v="1"/>
    <n v="4704"/>
    <n v="-152"/>
    <n v="8728"/>
    <n v="3128"/>
    <n v="1728"/>
    <n v="80"/>
    <x v="4"/>
    <n v="1"/>
    <x v="7"/>
  </r>
  <r>
    <x v="205"/>
    <x v="0"/>
    <n v="6850"/>
    <n v="3263"/>
    <n v="7075"/>
    <n v="2286"/>
    <n v="1301"/>
    <n v="66"/>
    <x v="1"/>
    <n v="6"/>
    <x v="2"/>
  </r>
  <r>
    <x v="206"/>
    <x v="0"/>
    <n v="2321"/>
    <n v="-2240"/>
    <n v="9033"/>
    <n v="4246"/>
    <n v="315"/>
    <n v="117"/>
    <x v="2"/>
    <n v="10"/>
    <x v="7"/>
  </r>
  <r>
    <x v="207"/>
    <x v="1"/>
    <n v="3780"/>
    <n v="-1100"/>
    <n v="6972"/>
    <n v="4129"/>
    <n v="751"/>
    <n v="120"/>
    <x v="2"/>
    <n v="2"/>
    <x v="3"/>
  </r>
  <r>
    <x v="208"/>
    <x v="1"/>
    <n v="4281"/>
    <n v="-1898"/>
    <n v="7004"/>
    <n v="4574"/>
    <n v="1605"/>
    <n v="112"/>
    <x v="3"/>
    <n v="10"/>
    <x v="9"/>
  </r>
  <r>
    <x v="209"/>
    <x v="1"/>
    <n v="4406"/>
    <n v="1305"/>
    <n v="6738"/>
    <n v="1990"/>
    <n v="1111"/>
    <n v="36"/>
    <x v="3"/>
    <n v="7"/>
    <x v="9"/>
  </r>
  <r>
    <x v="210"/>
    <x v="0"/>
    <n v="11756"/>
    <n v="8902"/>
    <n v="6642"/>
    <n v="2115"/>
    <n v="739"/>
    <n v="96"/>
    <x v="3"/>
    <n v="2"/>
    <x v="9"/>
  </r>
  <r>
    <x v="211"/>
    <x v="1"/>
    <n v="2571"/>
    <n v="-502"/>
    <n v="9093"/>
    <n v="1330"/>
    <n v="1743"/>
    <n v="19"/>
    <x v="2"/>
    <n v="9"/>
    <x v="4"/>
  </r>
  <r>
    <x v="110"/>
    <x v="2"/>
    <n v="5312"/>
    <n v="716"/>
    <n v="9708"/>
    <n v="2643"/>
    <n v="1953"/>
    <n v="91"/>
    <x v="4"/>
    <n v="8"/>
    <x v="4"/>
  </r>
  <r>
    <x v="212"/>
    <x v="1"/>
    <n v="11566"/>
    <n v="8455"/>
    <n v="8892"/>
    <n v="2041"/>
    <n v="1070"/>
    <n v="47"/>
    <x v="4"/>
    <n v="10"/>
    <x v="10"/>
  </r>
  <r>
    <x v="213"/>
    <x v="0"/>
    <n v="5418"/>
    <n v="2603"/>
    <n v="5229"/>
    <n v="896"/>
    <n v="1919"/>
    <n v="72"/>
    <x v="1"/>
    <n v="9"/>
    <x v="9"/>
  </r>
  <r>
    <x v="214"/>
    <x v="1"/>
    <n v="4887"/>
    <n v="860"/>
    <n v="6922"/>
    <n v="2885"/>
    <n v="1142"/>
    <n v="34"/>
    <x v="1"/>
    <n v="2"/>
    <x v="6"/>
  </r>
  <r>
    <x v="215"/>
    <x v="3"/>
    <n v="5262"/>
    <n v="2676"/>
    <n v="7957"/>
    <n v="1270"/>
    <n v="1316"/>
    <n v="47"/>
    <x v="2"/>
    <n v="3"/>
    <x v="9"/>
  </r>
  <r>
    <x v="216"/>
    <x v="1"/>
    <n v="4658"/>
    <n v="-98"/>
    <n v="9058"/>
    <n v="3758"/>
    <n v="998"/>
    <n v="72"/>
    <x v="2"/>
    <n v="4"/>
    <x v="11"/>
  </r>
  <r>
    <x v="205"/>
    <x v="0"/>
    <n v="10654"/>
    <n v="7393"/>
    <n v="7856"/>
    <n v="1644"/>
    <n v="1617"/>
    <n v="22"/>
    <x v="0"/>
    <n v="10"/>
    <x v="2"/>
  </r>
  <r>
    <x v="217"/>
    <x v="2"/>
    <n v="10297"/>
    <n v="3655"/>
    <n v="8964"/>
    <n v="4819"/>
    <n v="1823"/>
    <n v="47"/>
    <x v="3"/>
    <n v="7"/>
    <x v="2"/>
  </r>
  <r>
    <x v="218"/>
    <x v="1"/>
    <n v="3455"/>
    <n v="-2024"/>
    <n v="8483"/>
    <n v="4943"/>
    <n v="536"/>
    <n v="72"/>
    <x v="2"/>
    <n v="10"/>
    <x v="2"/>
  </r>
  <r>
    <x v="219"/>
    <x v="3"/>
    <n v="10736"/>
    <n v="6542"/>
    <n v="9151"/>
    <n v="3709"/>
    <n v="485"/>
    <n v="118"/>
    <x v="1"/>
    <n v="5"/>
    <x v="1"/>
  </r>
  <r>
    <x v="220"/>
    <x v="1"/>
    <n v="9219"/>
    <n v="5654"/>
    <n v="4401"/>
    <n v="1681"/>
    <n v="1884"/>
    <n v="10"/>
    <x v="3"/>
    <n v="2"/>
    <x v="5"/>
  </r>
  <r>
    <x v="101"/>
    <x v="0"/>
    <n v="3324"/>
    <n v="-1506"/>
    <n v="6505"/>
    <n v="3422"/>
    <n v="1408"/>
    <n v="51"/>
    <x v="0"/>
    <n v="9"/>
    <x v="9"/>
  </r>
  <r>
    <x v="221"/>
    <x v="3"/>
    <n v="11045"/>
    <n v="5978"/>
    <n v="6192"/>
    <n v="4658"/>
    <n v="409"/>
    <n v="45"/>
    <x v="2"/>
    <n v="6"/>
    <x v="9"/>
  </r>
  <r>
    <x v="222"/>
    <x v="2"/>
    <n v="5709"/>
    <n v="2738"/>
    <n v="8174"/>
    <n v="2487"/>
    <n v="484"/>
    <n v="84"/>
    <x v="2"/>
    <n v="1"/>
    <x v="6"/>
  </r>
  <r>
    <x v="223"/>
    <x v="2"/>
    <n v="3453"/>
    <n v="530"/>
    <n v="5824"/>
    <n v="1074"/>
    <n v="1849"/>
    <n v="82"/>
    <x v="0"/>
    <n v="5"/>
    <x v="8"/>
  </r>
  <r>
    <x v="224"/>
    <x v="0"/>
    <n v="2748"/>
    <n v="-1108"/>
    <n v="5825"/>
    <n v="1890"/>
    <n v="1966"/>
    <n v="92"/>
    <x v="1"/>
    <n v="8"/>
    <x v="7"/>
  </r>
  <r>
    <x v="225"/>
    <x v="0"/>
    <n v="4945"/>
    <n v="867"/>
    <n v="9735"/>
    <n v="3188"/>
    <n v="890"/>
    <n v="63"/>
    <x v="1"/>
    <n v="5"/>
    <x v="2"/>
  </r>
  <r>
    <x v="226"/>
    <x v="1"/>
    <n v="2787"/>
    <n v="-2306"/>
    <n v="6136"/>
    <n v="3884"/>
    <n v="1209"/>
    <n v="114"/>
    <x v="2"/>
    <n v="4"/>
    <x v="8"/>
  </r>
  <r>
    <x v="227"/>
    <x v="2"/>
    <n v="9847"/>
    <n v="7726"/>
    <n v="7570"/>
    <n v="1265"/>
    <n v="856"/>
    <n v="57"/>
    <x v="2"/>
    <n v="5"/>
    <x v="3"/>
  </r>
  <r>
    <x v="228"/>
    <x v="1"/>
    <n v="4348"/>
    <n v="-559"/>
    <n v="5836"/>
    <n v="4270"/>
    <n v="637"/>
    <n v="54"/>
    <x v="4"/>
    <n v="2"/>
    <x v="9"/>
  </r>
  <r>
    <x v="229"/>
    <x v="2"/>
    <n v="6903"/>
    <n v="680"/>
    <n v="5725"/>
    <n v="4937"/>
    <n v="1286"/>
    <n v="29"/>
    <x v="2"/>
    <n v="1"/>
    <x v="7"/>
  </r>
  <r>
    <x v="41"/>
    <x v="0"/>
    <n v="9546"/>
    <n v="3360"/>
    <n v="6878"/>
    <n v="4685"/>
    <n v="1501"/>
    <n v="104"/>
    <x v="3"/>
    <n v="4"/>
    <x v="8"/>
  </r>
  <r>
    <x v="230"/>
    <x v="1"/>
    <n v="11203"/>
    <n v="7279"/>
    <n v="4735"/>
    <n v="2680"/>
    <n v="1244"/>
    <n v="120"/>
    <x v="1"/>
    <n v="5"/>
    <x v="11"/>
  </r>
  <r>
    <x v="231"/>
    <x v="0"/>
    <n v="9682"/>
    <n v="4477"/>
    <n v="4193"/>
    <n v="3399"/>
    <n v="1806"/>
    <n v="117"/>
    <x v="4"/>
    <n v="4"/>
    <x v="10"/>
  </r>
  <r>
    <x v="232"/>
    <x v="0"/>
    <n v="3623"/>
    <n v="1596"/>
    <n v="8156"/>
    <n v="1409"/>
    <n v="618"/>
    <n v="87"/>
    <x v="2"/>
    <n v="5"/>
    <x v="5"/>
  </r>
  <r>
    <x v="233"/>
    <x v="2"/>
    <n v="2041"/>
    <n v="-2437"/>
    <n v="8541"/>
    <n v="2975"/>
    <n v="1503"/>
    <n v="85"/>
    <x v="2"/>
    <n v="4"/>
    <x v="8"/>
  </r>
  <r>
    <x v="234"/>
    <x v="2"/>
    <n v="4468"/>
    <n v="2209"/>
    <n v="8635"/>
    <n v="1424"/>
    <n v="835"/>
    <n v="81"/>
    <x v="4"/>
    <n v="10"/>
    <x v="10"/>
  </r>
  <r>
    <x v="235"/>
    <x v="3"/>
    <n v="5829"/>
    <n v="-518"/>
    <n v="5244"/>
    <n v="4913"/>
    <n v="1434"/>
    <n v="90"/>
    <x v="1"/>
    <n v="1"/>
    <x v="8"/>
  </r>
  <r>
    <x v="236"/>
    <x v="0"/>
    <n v="9177"/>
    <n v="3446"/>
    <n v="5323"/>
    <n v="4527"/>
    <n v="1204"/>
    <n v="88"/>
    <x v="0"/>
    <n v="8"/>
    <x v="10"/>
  </r>
  <r>
    <x v="237"/>
    <x v="2"/>
    <n v="2017"/>
    <n v="-2894"/>
    <n v="5189"/>
    <n v="3274"/>
    <n v="1637"/>
    <n v="57"/>
    <x v="4"/>
    <n v="3"/>
    <x v="5"/>
  </r>
  <r>
    <x v="238"/>
    <x v="0"/>
    <n v="2930"/>
    <n v="-160"/>
    <n v="7377"/>
    <n v="2575"/>
    <n v="515"/>
    <n v="27"/>
    <x v="4"/>
    <n v="7"/>
    <x v="6"/>
  </r>
  <r>
    <x v="157"/>
    <x v="1"/>
    <n v="8689"/>
    <n v="3655"/>
    <n v="6131"/>
    <n v="3132"/>
    <n v="1902"/>
    <n v="64"/>
    <x v="4"/>
    <n v="2"/>
    <x v="0"/>
  </r>
  <r>
    <x v="239"/>
    <x v="2"/>
    <n v="7014"/>
    <n v="2311"/>
    <n v="7942"/>
    <n v="4313"/>
    <n v="390"/>
    <n v="62"/>
    <x v="1"/>
    <n v="6"/>
    <x v="7"/>
  </r>
  <r>
    <x v="240"/>
    <x v="1"/>
    <n v="4948"/>
    <n v="245"/>
    <n v="6646"/>
    <n v="2904"/>
    <n v="1799"/>
    <n v="22"/>
    <x v="4"/>
    <n v="4"/>
    <x v="9"/>
  </r>
  <r>
    <x v="241"/>
    <x v="0"/>
    <n v="5577"/>
    <n v="-452"/>
    <n v="6040"/>
    <n v="4332"/>
    <n v="1697"/>
    <n v="114"/>
    <x v="3"/>
    <n v="8"/>
    <x v="1"/>
  </r>
  <r>
    <x v="242"/>
    <x v="1"/>
    <n v="3909"/>
    <n v="-658"/>
    <n v="4389"/>
    <n v="2931"/>
    <n v="1636"/>
    <n v="96"/>
    <x v="3"/>
    <n v="2"/>
    <x v="8"/>
  </r>
  <r>
    <x v="11"/>
    <x v="3"/>
    <n v="3781"/>
    <n v="1686"/>
    <n v="8733"/>
    <n v="1061"/>
    <n v="1034"/>
    <n v="37"/>
    <x v="0"/>
    <n v="9"/>
    <x v="8"/>
  </r>
  <r>
    <x v="243"/>
    <x v="1"/>
    <n v="6681"/>
    <n v="3583"/>
    <n v="9676"/>
    <n v="1386"/>
    <n v="1712"/>
    <n v="32"/>
    <x v="0"/>
    <n v="3"/>
    <x v="4"/>
  </r>
  <r>
    <x v="244"/>
    <x v="1"/>
    <n v="4684"/>
    <n v="-1942"/>
    <n v="7823"/>
    <n v="4813"/>
    <n v="1813"/>
    <n v="83"/>
    <x v="4"/>
    <n v="1"/>
    <x v="8"/>
  </r>
  <r>
    <x v="245"/>
    <x v="2"/>
    <n v="9975"/>
    <n v="4572"/>
    <n v="9258"/>
    <n v="3724"/>
    <n v="1679"/>
    <n v="119"/>
    <x v="2"/>
    <n v="9"/>
    <x v="8"/>
  </r>
  <r>
    <x v="246"/>
    <x v="1"/>
    <n v="8420"/>
    <n v="3452"/>
    <n v="5188"/>
    <n v="3900"/>
    <n v="1068"/>
    <n v="109"/>
    <x v="3"/>
    <n v="4"/>
    <x v="5"/>
  </r>
  <r>
    <x v="247"/>
    <x v="1"/>
    <n v="11203"/>
    <n v="8224"/>
    <n v="9569"/>
    <n v="1894"/>
    <n v="1085"/>
    <n v="46"/>
    <x v="1"/>
    <n v="6"/>
    <x v="6"/>
  </r>
  <r>
    <x v="248"/>
    <x v="1"/>
    <n v="11776"/>
    <n v="8614"/>
    <n v="8735"/>
    <n v="2753"/>
    <n v="409"/>
    <n v="68"/>
    <x v="1"/>
    <n v="4"/>
    <x v="10"/>
  </r>
  <r>
    <x v="249"/>
    <x v="1"/>
    <n v="10615"/>
    <n v="7447"/>
    <n v="8288"/>
    <n v="1800"/>
    <n v="1368"/>
    <n v="81"/>
    <x v="3"/>
    <n v="8"/>
    <x v="3"/>
  </r>
  <r>
    <x v="250"/>
    <x v="1"/>
    <n v="3774"/>
    <n v="667"/>
    <n v="4866"/>
    <n v="1289"/>
    <n v="1818"/>
    <n v="51"/>
    <x v="3"/>
    <n v="10"/>
    <x v="5"/>
  </r>
  <r>
    <x v="148"/>
    <x v="0"/>
    <n v="8077"/>
    <n v="3824"/>
    <n v="9162"/>
    <n v="2512"/>
    <n v="1741"/>
    <n v="48"/>
    <x v="0"/>
    <n v="4"/>
    <x v="10"/>
  </r>
  <r>
    <x v="49"/>
    <x v="1"/>
    <n v="6111"/>
    <n v="3863"/>
    <n v="4941"/>
    <n v="875"/>
    <n v="1373"/>
    <n v="96"/>
    <x v="4"/>
    <n v="3"/>
    <x v="8"/>
  </r>
  <r>
    <x v="251"/>
    <x v="3"/>
    <n v="4799"/>
    <n v="3194"/>
    <n v="9618"/>
    <n v="1041"/>
    <n v="564"/>
    <n v="58"/>
    <x v="0"/>
    <n v="8"/>
    <x v="0"/>
  </r>
  <r>
    <x v="252"/>
    <x v="0"/>
    <n v="9180"/>
    <n v="3740"/>
    <n v="4540"/>
    <n v="4306"/>
    <n v="1134"/>
    <n v="43"/>
    <x v="3"/>
    <n v="4"/>
    <x v="6"/>
  </r>
  <r>
    <x v="253"/>
    <x v="1"/>
    <n v="6888"/>
    <n v="1782"/>
    <n v="7880"/>
    <n v="4315"/>
    <n v="791"/>
    <n v="46"/>
    <x v="3"/>
    <n v="3"/>
    <x v="2"/>
  </r>
  <r>
    <x v="254"/>
    <x v="1"/>
    <n v="5484"/>
    <n v="-41"/>
    <n v="8230"/>
    <n v="4949"/>
    <n v="576"/>
    <n v="11"/>
    <x v="3"/>
    <n v="2"/>
    <x v="6"/>
  </r>
  <r>
    <x v="255"/>
    <x v="0"/>
    <n v="9676"/>
    <n v="6928"/>
    <n v="7752"/>
    <n v="1903"/>
    <n v="845"/>
    <n v="87"/>
    <x v="4"/>
    <n v="1"/>
    <x v="0"/>
  </r>
  <r>
    <x v="256"/>
    <x v="0"/>
    <n v="7966"/>
    <n v="3841"/>
    <n v="4535"/>
    <n v="3134"/>
    <n v="991"/>
    <n v="92"/>
    <x v="3"/>
    <n v="1"/>
    <x v="8"/>
  </r>
  <r>
    <x v="257"/>
    <x v="0"/>
    <n v="7341"/>
    <n v="4036"/>
    <n v="6112"/>
    <n v="2414"/>
    <n v="891"/>
    <n v="113"/>
    <x v="4"/>
    <n v="2"/>
    <x v="4"/>
  </r>
  <r>
    <x v="258"/>
    <x v="3"/>
    <n v="3530"/>
    <n v="-199"/>
    <n v="5397"/>
    <n v="2771"/>
    <n v="958"/>
    <n v="63"/>
    <x v="2"/>
    <n v="10"/>
    <x v="8"/>
  </r>
  <r>
    <x v="259"/>
    <x v="3"/>
    <n v="8610"/>
    <n v="4281"/>
    <n v="9242"/>
    <n v="3178"/>
    <n v="1151"/>
    <n v="88"/>
    <x v="3"/>
    <n v="3"/>
    <x v="8"/>
  </r>
  <r>
    <x v="260"/>
    <x v="3"/>
    <n v="4176"/>
    <n v="1458"/>
    <n v="7184"/>
    <n v="1424"/>
    <n v="1294"/>
    <n v="17"/>
    <x v="0"/>
    <n v="8"/>
    <x v="11"/>
  </r>
  <r>
    <x v="261"/>
    <x v="2"/>
    <n v="9925"/>
    <n v="5096"/>
    <n v="8852"/>
    <n v="4477"/>
    <n v="352"/>
    <n v="73"/>
    <x v="0"/>
    <n v="6"/>
    <x v="4"/>
  </r>
  <r>
    <x v="262"/>
    <x v="0"/>
    <n v="8317"/>
    <n v="1503"/>
    <n v="9099"/>
    <n v="4896"/>
    <n v="1918"/>
    <n v="55"/>
    <x v="2"/>
    <n v="10"/>
    <x v="9"/>
  </r>
  <r>
    <x v="263"/>
    <x v="0"/>
    <n v="5116"/>
    <n v="-338"/>
    <n v="5975"/>
    <n v="4875"/>
    <n v="579"/>
    <n v="19"/>
    <x v="3"/>
    <n v="9"/>
    <x v="1"/>
  </r>
  <r>
    <x v="179"/>
    <x v="3"/>
    <n v="11313"/>
    <n v="6784"/>
    <n v="8816"/>
    <n v="2938"/>
    <n v="1591"/>
    <n v="47"/>
    <x v="2"/>
    <n v="4"/>
    <x v="7"/>
  </r>
  <r>
    <x v="264"/>
    <x v="3"/>
    <n v="3419"/>
    <n v="-2119"/>
    <n v="6222"/>
    <n v="3875"/>
    <n v="1663"/>
    <n v="112"/>
    <x v="3"/>
    <n v="4"/>
    <x v="11"/>
  </r>
  <r>
    <x v="265"/>
    <x v="1"/>
    <n v="6124"/>
    <n v="1341"/>
    <n v="4698"/>
    <n v="2797"/>
    <n v="1986"/>
    <n v="56"/>
    <x v="3"/>
    <n v="10"/>
    <x v="11"/>
  </r>
  <r>
    <x v="266"/>
    <x v="3"/>
    <n v="2956"/>
    <n v="956"/>
    <n v="6463"/>
    <n v="1136"/>
    <n v="864"/>
    <n v="109"/>
    <x v="3"/>
    <n v="6"/>
    <x v="1"/>
  </r>
  <r>
    <x v="165"/>
    <x v="2"/>
    <n v="3980"/>
    <n v="-2159"/>
    <n v="5410"/>
    <n v="4244"/>
    <n v="1895"/>
    <n v="10"/>
    <x v="0"/>
    <n v="3"/>
    <x v="7"/>
  </r>
  <r>
    <x v="267"/>
    <x v="2"/>
    <n v="5009"/>
    <n v="2128"/>
    <n v="4760"/>
    <n v="2627"/>
    <n v="254"/>
    <n v="65"/>
    <x v="2"/>
    <n v="4"/>
    <x v="3"/>
  </r>
  <r>
    <x v="268"/>
    <x v="2"/>
    <n v="3688"/>
    <n v="-2397"/>
    <n v="4898"/>
    <n v="4111"/>
    <n v="1974"/>
    <n v="46"/>
    <x v="3"/>
    <n v="10"/>
    <x v="5"/>
  </r>
  <r>
    <x v="269"/>
    <x v="3"/>
    <n v="3895"/>
    <n v="-921"/>
    <n v="4744"/>
    <n v="4030"/>
    <n v="786"/>
    <n v="24"/>
    <x v="0"/>
    <n v="10"/>
    <x v="6"/>
  </r>
  <r>
    <x v="270"/>
    <x v="3"/>
    <n v="4242"/>
    <n v="-587"/>
    <n v="6313"/>
    <n v="4385"/>
    <n v="444"/>
    <n v="11"/>
    <x v="1"/>
    <n v="1"/>
    <x v="3"/>
  </r>
  <r>
    <x v="271"/>
    <x v="0"/>
    <n v="5719"/>
    <n v="767"/>
    <n v="8936"/>
    <n v="3713"/>
    <n v="1239"/>
    <n v="89"/>
    <x v="4"/>
    <n v="2"/>
    <x v="11"/>
  </r>
  <r>
    <x v="272"/>
    <x v="3"/>
    <n v="10766"/>
    <n v="5412"/>
    <n v="6278"/>
    <n v="4372"/>
    <n v="982"/>
    <n v="38"/>
    <x v="3"/>
    <n v="8"/>
    <x v="8"/>
  </r>
  <r>
    <x v="273"/>
    <x v="3"/>
    <n v="4087"/>
    <n v="-974"/>
    <n v="8257"/>
    <n v="4089"/>
    <n v="972"/>
    <n v="55"/>
    <x v="3"/>
    <n v="3"/>
    <x v="1"/>
  </r>
  <r>
    <x v="274"/>
    <x v="2"/>
    <n v="7592"/>
    <n v="3598"/>
    <n v="8057"/>
    <n v="3265"/>
    <n v="729"/>
    <n v="119"/>
    <x v="1"/>
    <n v="7"/>
    <x v="3"/>
  </r>
  <r>
    <x v="275"/>
    <x v="1"/>
    <n v="2177"/>
    <n v="-4642"/>
    <n v="7234"/>
    <n v="4921"/>
    <n v="1898"/>
    <n v="33"/>
    <x v="2"/>
    <n v="10"/>
    <x v="0"/>
  </r>
  <r>
    <x v="276"/>
    <x v="3"/>
    <n v="8179"/>
    <n v="4220"/>
    <n v="9849"/>
    <n v="2760"/>
    <n v="1199"/>
    <n v="14"/>
    <x v="4"/>
    <n v="4"/>
    <x v="3"/>
  </r>
  <r>
    <x v="277"/>
    <x v="3"/>
    <n v="4175"/>
    <n v="1610"/>
    <n v="7093"/>
    <n v="1428"/>
    <n v="1137"/>
    <n v="27"/>
    <x v="4"/>
    <n v="6"/>
    <x v="9"/>
  </r>
  <r>
    <x v="278"/>
    <x v="0"/>
    <n v="2007"/>
    <n v="-2503"/>
    <n v="4263"/>
    <n v="2519"/>
    <n v="1991"/>
    <n v="35"/>
    <x v="0"/>
    <n v="6"/>
    <x v="5"/>
  </r>
  <r>
    <x v="279"/>
    <x v="2"/>
    <n v="11142"/>
    <n v="8079"/>
    <n v="6362"/>
    <n v="1119"/>
    <n v="1944"/>
    <n v="90"/>
    <x v="2"/>
    <n v="1"/>
    <x v="11"/>
  </r>
  <r>
    <x v="280"/>
    <x v="3"/>
    <n v="11994"/>
    <n v="5790"/>
    <n v="7423"/>
    <n v="4335"/>
    <n v="1869"/>
    <n v="14"/>
    <x v="1"/>
    <n v="3"/>
    <x v="7"/>
  </r>
  <r>
    <x v="281"/>
    <x v="0"/>
    <n v="3039"/>
    <n v="-2450"/>
    <n v="5826"/>
    <n v="3883"/>
    <n v="1606"/>
    <n v="26"/>
    <x v="0"/>
    <n v="9"/>
    <x v="4"/>
  </r>
  <r>
    <x v="282"/>
    <x v="1"/>
    <n v="7489"/>
    <n v="2705"/>
    <n v="6324"/>
    <n v="3197"/>
    <n v="1587"/>
    <n v="31"/>
    <x v="1"/>
    <n v="1"/>
    <x v="10"/>
  </r>
  <r>
    <x v="79"/>
    <x v="0"/>
    <n v="6661"/>
    <n v="1713"/>
    <n v="5073"/>
    <n v="3401"/>
    <n v="1547"/>
    <n v="73"/>
    <x v="2"/>
    <n v="7"/>
    <x v="0"/>
  </r>
  <r>
    <x v="222"/>
    <x v="3"/>
    <n v="2560"/>
    <n v="-698"/>
    <n v="9427"/>
    <n v="2693"/>
    <n v="565"/>
    <n v="104"/>
    <x v="3"/>
    <n v="1"/>
    <x v="6"/>
  </r>
  <r>
    <x v="283"/>
    <x v="3"/>
    <n v="10094"/>
    <n v="6875"/>
    <n v="6360"/>
    <n v="2187"/>
    <n v="1032"/>
    <n v="48"/>
    <x v="3"/>
    <n v="3"/>
    <x v="7"/>
  </r>
  <r>
    <x v="284"/>
    <x v="3"/>
    <n v="7599"/>
    <n v="4742"/>
    <n v="5027"/>
    <n v="961"/>
    <n v="1896"/>
    <n v="92"/>
    <x v="2"/>
    <n v="1"/>
    <x v="9"/>
  </r>
  <r>
    <x v="285"/>
    <x v="3"/>
    <n v="6894"/>
    <n v="418"/>
    <n v="7558"/>
    <n v="4769"/>
    <n v="1707"/>
    <n v="73"/>
    <x v="2"/>
    <n v="1"/>
    <x v="9"/>
  </r>
  <r>
    <x v="286"/>
    <x v="0"/>
    <n v="2407"/>
    <n v="-2408"/>
    <n v="9596"/>
    <n v="3438"/>
    <n v="1377"/>
    <n v="46"/>
    <x v="3"/>
    <n v="4"/>
    <x v="11"/>
  </r>
  <r>
    <x v="287"/>
    <x v="1"/>
    <n v="2558"/>
    <n v="142"/>
    <n v="7570"/>
    <n v="2152"/>
    <n v="264"/>
    <n v="10"/>
    <x v="4"/>
    <n v="8"/>
    <x v="5"/>
  </r>
  <r>
    <x v="288"/>
    <x v="0"/>
    <n v="5080"/>
    <n v="1632"/>
    <n v="7747"/>
    <n v="1744"/>
    <n v="1704"/>
    <n v="114"/>
    <x v="0"/>
    <n v="10"/>
    <x v="5"/>
  </r>
  <r>
    <x v="289"/>
    <x v="0"/>
    <n v="11705"/>
    <n v="8456"/>
    <n v="4349"/>
    <n v="1325"/>
    <n v="1924"/>
    <n v="77"/>
    <x v="4"/>
    <n v="7"/>
    <x v="6"/>
  </r>
  <r>
    <x v="290"/>
    <x v="1"/>
    <n v="3091"/>
    <n v="1185"/>
    <n v="8009"/>
    <n v="966"/>
    <n v="940"/>
    <n v="85"/>
    <x v="4"/>
    <n v="6"/>
    <x v="0"/>
  </r>
  <r>
    <x v="236"/>
    <x v="3"/>
    <n v="3918"/>
    <n v="-2000"/>
    <n v="9278"/>
    <n v="4675"/>
    <n v="1243"/>
    <n v="11"/>
    <x v="1"/>
    <n v="6"/>
    <x v="10"/>
  </r>
  <r>
    <x v="291"/>
    <x v="3"/>
    <n v="11733"/>
    <n v="7179"/>
    <n v="4642"/>
    <n v="3628"/>
    <n v="926"/>
    <n v="95"/>
    <x v="0"/>
    <n v="9"/>
    <x v="1"/>
  </r>
  <r>
    <x v="292"/>
    <x v="1"/>
    <n v="7466"/>
    <n v="4239"/>
    <n v="8489"/>
    <n v="2070"/>
    <n v="1157"/>
    <n v="40"/>
    <x v="0"/>
    <n v="3"/>
    <x v="3"/>
  </r>
  <r>
    <x v="293"/>
    <x v="3"/>
    <n v="3474"/>
    <n v="902"/>
    <n v="5110"/>
    <n v="1105"/>
    <n v="1467"/>
    <n v="23"/>
    <x v="3"/>
    <n v="6"/>
    <x v="11"/>
  </r>
  <r>
    <x v="294"/>
    <x v="1"/>
    <n v="11213"/>
    <n v="8151"/>
    <n v="6238"/>
    <n v="1923"/>
    <n v="1139"/>
    <n v="39"/>
    <x v="0"/>
    <n v="4"/>
    <x v="0"/>
  </r>
  <r>
    <x v="295"/>
    <x v="1"/>
    <n v="4852"/>
    <n v="-101"/>
    <n v="7271"/>
    <n v="3991"/>
    <n v="962"/>
    <n v="54"/>
    <x v="0"/>
    <n v="10"/>
    <x v="3"/>
  </r>
  <r>
    <x v="296"/>
    <x v="2"/>
    <n v="11133"/>
    <n v="9147"/>
    <n v="5678"/>
    <n v="907"/>
    <n v="1079"/>
    <n v="54"/>
    <x v="4"/>
    <n v="2"/>
    <x v="1"/>
  </r>
  <r>
    <x v="297"/>
    <x v="2"/>
    <n v="5192"/>
    <n v="3038"/>
    <n v="7232"/>
    <n v="1542"/>
    <n v="612"/>
    <n v="97"/>
    <x v="3"/>
    <n v="6"/>
    <x v="3"/>
  </r>
  <r>
    <x v="298"/>
    <x v="1"/>
    <n v="7291"/>
    <n v="2083"/>
    <n v="7231"/>
    <n v="4271"/>
    <n v="937"/>
    <n v="66"/>
    <x v="4"/>
    <n v="5"/>
    <x v="9"/>
  </r>
  <r>
    <x v="299"/>
    <x v="0"/>
    <n v="11450"/>
    <n v="8818"/>
    <n v="4479"/>
    <n v="1729"/>
    <n v="903"/>
    <n v="69"/>
    <x v="1"/>
    <n v="9"/>
    <x v="8"/>
  </r>
  <r>
    <x v="300"/>
    <x v="3"/>
    <n v="10517"/>
    <n v="6179"/>
    <n v="5990"/>
    <n v="3491"/>
    <n v="847"/>
    <n v="108"/>
    <x v="1"/>
    <n v="8"/>
    <x v="6"/>
  </r>
  <r>
    <x v="301"/>
    <x v="2"/>
    <n v="8811"/>
    <n v="6872"/>
    <n v="4676"/>
    <n v="1139"/>
    <n v="800"/>
    <n v="115"/>
    <x v="4"/>
    <n v="3"/>
    <x v="7"/>
  </r>
  <r>
    <x v="156"/>
    <x v="2"/>
    <n v="11361"/>
    <n v="8682"/>
    <n v="9137"/>
    <n v="1737"/>
    <n v="942"/>
    <n v="40"/>
    <x v="4"/>
    <n v="3"/>
    <x v="8"/>
  </r>
  <r>
    <x v="88"/>
    <x v="1"/>
    <n v="5240"/>
    <n v="2048"/>
    <n v="8372"/>
    <n v="2174"/>
    <n v="1018"/>
    <n v="110"/>
    <x v="4"/>
    <n v="1"/>
    <x v="2"/>
  </r>
  <r>
    <x v="302"/>
    <x v="1"/>
    <n v="7003"/>
    <n v="677"/>
    <n v="8582"/>
    <n v="4664"/>
    <n v="1662"/>
    <n v="86"/>
    <x v="1"/>
    <n v="4"/>
    <x v="1"/>
  </r>
  <r>
    <x v="303"/>
    <x v="2"/>
    <n v="11026"/>
    <n v="5313"/>
    <n v="4507"/>
    <n v="3984"/>
    <n v="1729"/>
    <n v="91"/>
    <x v="1"/>
    <n v="5"/>
    <x v="3"/>
  </r>
  <r>
    <x v="304"/>
    <x v="0"/>
    <n v="8246"/>
    <n v="6058"/>
    <n v="6009"/>
    <n v="902"/>
    <n v="1286"/>
    <n v="119"/>
    <x v="0"/>
    <n v="7"/>
    <x v="3"/>
  </r>
  <r>
    <x v="305"/>
    <x v="0"/>
    <n v="9586"/>
    <n v="3649"/>
    <n v="8443"/>
    <n v="4723"/>
    <n v="1214"/>
    <n v="29"/>
    <x v="0"/>
    <n v="10"/>
    <x v="10"/>
  </r>
  <r>
    <x v="210"/>
    <x v="0"/>
    <n v="4589"/>
    <n v="2158"/>
    <n v="6991"/>
    <n v="909"/>
    <n v="1522"/>
    <n v="81"/>
    <x v="3"/>
    <n v="10"/>
    <x v="9"/>
  </r>
  <r>
    <x v="306"/>
    <x v="2"/>
    <n v="8526"/>
    <n v="2475"/>
    <n v="5748"/>
    <n v="4875"/>
    <n v="1176"/>
    <n v="45"/>
    <x v="1"/>
    <n v="7"/>
    <x v="8"/>
  </r>
  <r>
    <x v="306"/>
    <x v="0"/>
    <n v="10321"/>
    <n v="6052"/>
    <n v="8729"/>
    <n v="2448"/>
    <n v="1821"/>
    <n v="43"/>
    <x v="1"/>
    <n v="3"/>
    <x v="8"/>
  </r>
  <r>
    <x v="46"/>
    <x v="2"/>
    <n v="8427"/>
    <n v="6090"/>
    <n v="5408"/>
    <n v="1021"/>
    <n v="1316"/>
    <n v="100"/>
    <x v="0"/>
    <n v="10"/>
    <x v="3"/>
  </r>
  <r>
    <x v="253"/>
    <x v="2"/>
    <n v="8551"/>
    <n v="6159"/>
    <n v="8900"/>
    <n v="1535"/>
    <n v="857"/>
    <n v="34"/>
    <x v="1"/>
    <n v="4"/>
    <x v="2"/>
  </r>
  <r>
    <x v="229"/>
    <x v="1"/>
    <n v="9053"/>
    <n v="5518"/>
    <n v="4302"/>
    <n v="1827"/>
    <n v="1708"/>
    <n v="116"/>
    <x v="2"/>
    <n v="1"/>
    <x v="7"/>
  </r>
  <r>
    <x v="307"/>
    <x v="1"/>
    <n v="2819"/>
    <n v="-1568"/>
    <n v="7716"/>
    <n v="2503"/>
    <n v="1884"/>
    <n v="100"/>
    <x v="2"/>
    <n v="2"/>
    <x v="4"/>
  </r>
  <r>
    <x v="308"/>
    <x v="1"/>
    <n v="9225"/>
    <n v="2794"/>
    <n v="4047"/>
    <n v="4655"/>
    <n v="1776"/>
    <n v="87"/>
    <x v="0"/>
    <n v="4"/>
    <x v="6"/>
  </r>
  <r>
    <x v="141"/>
    <x v="3"/>
    <n v="3428"/>
    <n v="556"/>
    <n v="5728"/>
    <n v="1037"/>
    <n v="1835"/>
    <n v="86"/>
    <x v="1"/>
    <n v="7"/>
    <x v="9"/>
  </r>
  <r>
    <x v="309"/>
    <x v="3"/>
    <n v="7661"/>
    <n v="1753"/>
    <n v="7423"/>
    <n v="4242"/>
    <n v="1666"/>
    <n v="38"/>
    <x v="0"/>
    <n v="6"/>
    <x v="9"/>
  </r>
  <r>
    <x v="310"/>
    <x v="2"/>
    <n v="8611"/>
    <n v="2089"/>
    <n v="6617"/>
    <n v="4642"/>
    <n v="1880"/>
    <n v="78"/>
    <x v="2"/>
    <n v="4"/>
    <x v="4"/>
  </r>
  <r>
    <x v="311"/>
    <x v="2"/>
    <n v="6409"/>
    <n v="4277"/>
    <n v="9697"/>
    <n v="1685"/>
    <n v="447"/>
    <n v="11"/>
    <x v="3"/>
    <n v="8"/>
    <x v="4"/>
  </r>
  <r>
    <x v="312"/>
    <x v="2"/>
    <n v="4521"/>
    <n v="-213"/>
    <n v="7188"/>
    <n v="4464"/>
    <n v="270"/>
    <n v="102"/>
    <x v="2"/>
    <n v="9"/>
    <x v="5"/>
  </r>
  <r>
    <x v="254"/>
    <x v="0"/>
    <n v="8137"/>
    <n v="3978"/>
    <n v="7774"/>
    <n v="2725"/>
    <n v="1434"/>
    <n v="37"/>
    <x v="3"/>
    <n v="8"/>
    <x v="6"/>
  </r>
  <r>
    <x v="313"/>
    <x v="2"/>
    <n v="7021"/>
    <n v="5226"/>
    <n v="8974"/>
    <n v="1392"/>
    <n v="403"/>
    <n v="59"/>
    <x v="4"/>
    <n v="10"/>
    <x v="9"/>
  </r>
  <r>
    <x v="314"/>
    <x v="3"/>
    <n v="2573"/>
    <n v="-3888"/>
    <n v="9576"/>
    <n v="4994"/>
    <n v="1467"/>
    <n v="86"/>
    <x v="0"/>
    <n v="8"/>
    <x v="2"/>
  </r>
  <r>
    <x v="315"/>
    <x v="3"/>
    <n v="11806"/>
    <n v="7804"/>
    <n v="8046"/>
    <n v="3509"/>
    <n v="493"/>
    <n v="70"/>
    <x v="0"/>
    <n v="3"/>
    <x v="9"/>
  </r>
  <r>
    <x v="316"/>
    <x v="0"/>
    <n v="6470"/>
    <n v="4256"/>
    <n v="6110"/>
    <n v="1584"/>
    <n v="630"/>
    <n v="81"/>
    <x v="4"/>
    <n v="3"/>
    <x v="6"/>
  </r>
  <r>
    <x v="179"/>
    <x v="3"/>
    <n v="3582"/>
    <n v="840"/>
    <n v="8056"/>
    <n v="2290"/>
    <n v="452"/>
    <n v="27"/>
    <x v="1"/>
    <n v="3"/>
    <x v="7"/>
  </r>
  <r>
    <x v="317"/>
    <x v="3"/>
    <n v="5561"/>
    <n v="58"/>
    <n v="7131"/>
    <n v="4069"/>
    <n v="1434"/>
    <n v="37"/>
    <x v="2"/>
    <n v="5"/>
    <x v="8"/>
  </r>
  <r>
    <x v="318"/>
    <x v="3"/>
    <n v="5768"/>
    <n v="-450"/>
    <n v="9406"/>
    <n v="4350"/>
    <n v="1868"/>
    <n v="82"/>
    <x v="0"/>
    <n v="3"/>
    <x v="10"/>
  </r>
  <r>
    <x v="319"/>
    <x v="2"/>
    <n v="8751"/>
    <n v="3715"/>
    <n v="8254"/>
    <n v="3049"/>
    <n v="1987"/>
    <n v="12"/>
    <x v="3"/>
    <n v="2"/>
    <x v="6"/>
  </r>
  <r>
    <x v="320"/>
    <x v="3"/>
    <n v="6545"/>
    <n v="539"/>
    <n v="4649"/>
    <n v="4496"/>
    <n v="1510"/>
    <n v="71"/>
    <x v="4"/>
    <n v="10"/>
    <x v="3"/>
  </r>
  <r>
    <x v="321"/>
    <x v="1"/>
    <n v="8571"/>
    <n v="6038"/>
    <n v="8875"/>
    <n v="1021"/>
    <n v="1512"/>
    <n v="113"/>
    <x v="0"/>
    <n v="4"/>
    <x v="8"/>
  </r>
  <r>
    <x v="322"/>
    <x v="2"/>
    <n v="3919"/>
    <n v="84"/>
    <n v="6314"/>
    <n v="3046"/>
    <n v="789"/>
    <n v="23"/>
    <x v="3"/>
    <n v="1"/>
    <x v="4"/>
  </r>
  <r>
    <x v="323"/>
    <x v="1"/>
    <n v="7578"/>
    <n v="5940"/>
    <n v="8348"/>
    <n v="1410"/>
    <n v="228"/>
    <n v="61"/>
    <x v="2"/>
    <n v="7"/>
    <x v="5"/>
  </r>
  <r>
    <x v="324"/>
    <x v="1"/>
    <n v="11557"/>
    <n v="7509"/>
    <n v="4999"/>
    <n v="2844"/>
    <n v="1204"/>
    <n v="32"/>
    <x v="3"/>
    <n v="9"/>
    <x v="11"/>
  </r>
  <r>
    <x v="325"/>
    <x v="2"/>
    <n v="7628"/>
    <n v="1697"/>
    <n v="8047"/>
    <n v="4259"/>
    <n v="1672"/>
    <n v="83"/>
    <x v="3"/>
    <n v="6"/>
    <x v="3"/>
  </r>
  <r>
    <x v="326"/>
    <x v="0"/>
    <n v="2828"/>
    <n v="788"/>
    <n v="9262"/>
    <n v="1032"/>
    <n v="1008"/>
    <n v="56"/>
    <x v="0"/>
    <n v="8"/>
    <x v="8"/>
  </r>
  <r>
    <x v="272"/>
    <x v="2"/>
    <n v="11051"/>
    <n v="9447"/>
    <n v="7369"/>
    <n v="1210"/>
    <n v="394"/>
    <n v="102"/>
    <x v="1"/>
    <n v="6"/>
    <x v="8"/>
  </r>
  <r>
    <x v="327"/>
    <x v="2"/>
    <n v="3045"/>
    <n v="-1317"/>
    <n v="6947"/>
    <n v="2431"/>
    <n v="1931"/>
    <n v="52"/>
    <x v="3"/>
    <n v="8"/>
    <x v="11"/>
  </r>
  <r>
    <x v="80"/>
    <x v="2"/>
    <n v="7616"/>
    <n v="1279"/>
    <n v="8133"/>
    <n v="4350"/>
    <n v="1987"/>
    <n v="68"/>
    <x v="0"/>
    <n v="7"/>
    <x v="7"/>
  </r>
  <r>
    <x v="328"/>
    <x v="1"/>
    <n v="7926"/>
    <n v="6240"/>
    <n v="5922"/>
    <n v="832"/>
    <n v="854"/>
    <n v="44"/>
    <x v="2"/>
    <n v="7"/>
    <x v="5"/>
  </r>
  <r>
    <x v="164"/>
    <x v="0"/>
    <n v="2888"/>
    <n v="-2323"/>
    <n v="6295"/>
    <n v="3696"/>
    <n v="1515"/>
    <n v="110"/>
    <x v="0"/>
    <n v="9"/>
    <x v="11"/>
  </r>
  <r>
    <x v="29"/>
    <x v="0"/>
    <n v="4896"/>
    <n v="127"/>
    <n v="7308"/>
    <n v="3953"/>
    <n v="816"/>
    <n v="38"/>
    <x v="1"/>
    <n v="10"/>
    <x v="2"/>
  </r>
  <r>
    <x v="329"/>
    <x v="1"/>
    <n v="6293"/>
    <n v="4255"/>
    <n v="6421"/>
    <n v="1732"/>
    <n v="306"/>
    <n v="21"/>
    <x v="4"/>
    <n v="8"/>
    <x v="6"/>
  </r>
  <r>
    <x v="330"/>
    <x v="1"/>
    <n v="5338"/>
    <n v="1546"/>
    <n v="9639"/>
    <n v="3153"/>
    <n v="639"/>
    <n v="114"/>
    <x v="1"/>
    <n v="7"/>
    <x v="2"/>
  </r>
  <r>
    <x v="331"/>
    <x v="3"/>
    <n v="4734"/>
    <n v="-718"/>
    <n v="7383"/>
    <n v="3849"/>
    <n v="1603"/>
    <n v="41"/>
    <x v="1"/>
    <n v="3"/>
    <x v="1"/>
  </r>
  <r>
    <x v="203"/>
    <x v="2"/>
    <n v="5828"/>
    <n v="2680"/>
    <n v="7633"/>
    <n v="2411"/>
    <n v="737"/>
    <n v="53"/>
    <x v="1"/>
    <n v="4"/>
    <x v="9"/>
  </r>
  <r>
    <x v="332"/>
    <x v="3"/>
    <n v="10776"/>
    <n v="6747"/>
    <n v="9422"/>
    <n v="2920"/>
    <n v="1109"/>
    <n v="103"/>
    <x v="1"/>
    <n v="6"/>
    <x v="11"/>
  </r>
  <r>
    <x v="333"/>
    <x v="1"/>
    <n v="6894"/>
    <n v="1522"/>
    <n v="7883"/>
    <n v="4319"/>
    <n v="1053"/>
    <n v="102"/>
    <x v="4"/>
    <n v="9"/>
    <x v="6"/>
  </r>
  <r>
    <x v="334"/>
    <x v="1"/>
    <n v="3964"/>
    <n v="1734"/>
    <n v="7654"/>
    <n v="1848"/>
    <n v="382"/>
    <n v="78"/>
    <x v="0"/>
    <n v="8"/>
    <x v="5"/>
  </r>
  <r>
    <x v="335"/>
    <x v="2"/>
    <n v="2474"/>
    <n v="-1567"/>
    <n v="7166"/>
    <n v="3537"/>
    <n v="504"/>
    <n v="92"/>
    <x v="4"/>
    <n v="2"/>
    <x v="1"/>
  </r>
  <r>
    <x v="336"/>
    <x v="3"/>
    <n v="10759"/>
    <n v="5182"/>
    <n v="7478"/>
    <n v="4474"/>
    <n v="1103"/>
    <n v="96"/>
    <x v="2"/>
    <n v="7"/>
    <x v="7"/>
  </r>
  <r>
    <x v="214"/>
    <x v="3"/>
    <n v="4945"/>
    <n v="1609"/>
    <n v="8780"/>
    <n v="2276"/>
    <n v="1060"/>
    <n v="97"/>
    <x v="0"/>
    <n v="2"/>
    <x v="6"/>
  </r>
  <r>
    <x v="100"/>
    <x v="3"/>
    <n v="5721"/>
    <n v="29"/>
    <n v="4017"/>
    <n v="4024"/>
    <n v="1668"/>
    <n v="16"/>
    <x v="0"/>
    <n v="7"/>
    <x v="2"/>
  </r>
  <r>
    <x v="337"/>
    <x v="0"/>
    <n v="4067"/>
    <n v="406"/>
    <n v="7336"/>
    <n v="2231"/>
    <n v="1430"/>
    <n v="96"/>
    <x v="2"/>
    <n v="8"/>
    <x v="6"/>
  </r>
  <r>
    <x v="338"/>
    <x v="0"/>
    <n v="5979"/>
    <n v="3703"/>
    <n v="8953"/>
    <n v="1800"/>
    <n v="476"/>
    <n v="91"/>
    <x v="3"/>
    <n v="1"/>
    <x v="8"/>
  </r>
  <r>
    <x v="339"/>
    <x v="3"/>
    <n v="10054"/>
    <n v="8495"/>
    <n v="4563"/>
    <n v="1302"/>
    <n v="257"/>
    <n v="42"/>
    <x v="4"/>
    <n v="4"/>
    <x v="1"/>
  </r>
  <r>
    <x v="340"/>
    <x v="2"/>
    <n v="10309"/>
    <n v="3837"/>
    <n v="8921"/>
    <n v="4991"/>
    <n v="1481"/>
    <n v="110"/>
    <x v="2"/>
    <n v="5"/>
    <x v="3"/>
  </r>
  <r>
    <x v="341"/>
    <x v="3"/>
    <n v="6496"/>
    <n v="4774"/>
    <n v="9337"/>
    <n v="1491"/>
    <n v="231"/>
    <n v="99"/>
    <x v="2"/>
    <n v="3"/>
    <x v="6"/>
  </r>
  <r>
    <x v="342"/>
    <x v="2"/>
    <n v="2719"/>
    <n v="-1624"/>
    <n v="9550"/>
    <n v="4118"/>
    <n v="225"/>
    <n v="25"/>
    <x v="2"/>
    <n v="5"/>
    <x v="7"/>
  </r>
  <r>
    <x v="343"/>
    <x v="1"/>
    <n v="8937"/>
    <n v="5173"/>
    <n v="5828"/>
    <n v="1936"/>
    <n v="1828"/>
    <n v="51"/>
    <x v="3"/>
    <n v="10"/>
    <x v="5"/>
  </r>
  <r>
    <x v="344"/>
    <x v="0"/>
    <n v="9139"/>
    <n v="5387"/>
    <n v="9282"/>
    <n v="3344"/>
    <n v="408"/>
    <n v="44"/>
    <x v="0"/>
    <n v="8"/>
    <x v="4"/>
  </r>
  <r>
    <x v="345"/>
    <x v="1"/>
    <n v="2791"/>
    <n v="-1469"/>
    <n v="9985"/>
    <n v="2999"/>
    <n v="1261"/>
    <n v="104"/>
    <x v="3"/>
    <n v="9"/>
    <x v="10"/>
  </r>
  <r>
    <x v="346"/>
    <x v="0"/>
    <n v="4005"/>
    <n v="-667"/>
    <n v="4539"/>
    <n v="2898"/>
    <n v="1774"/>
    <n v="64"/>
    <x v="0"/>
    <n v="5"/>
    <x v="7"/>
  </r>
  <r>
    <x v="347"/>
    <x v="3"/>
    <n v="5266"/>
    <n v="3793"/>
    <n v="7388"/>
    <n v="1151"/>
    <n v="322"/>
    <n v="59"/>
    <x v="4"/>
    <n v="5"/>
    <x v="5"/>
  </r>
  <r>
    <x v="348"/>
    <x v="1"/>
    <n v="10392"/>
    <n v="5382"/>
    <n v="4678"/>
    <n v="3710"/>
    <n v="1300"/>
    <n v="96"/>
    <x v="3"/>
    <n v="5"/>
    <x v="10"/>
  </r>
  <r>
    <x v="349"/>
    <x v="0"/>
    <n v="11360"/>
    <n v="7799"/>
    <n v="4970"/>
    <n v="3085"/>
    <n v="476"/>
    <n v="81"/>
    <x v="2"/>
    <n v="7"/>
    <x v="6"/>
  </r>
  <r>
    <x v="350"/>
    <x v="0"/>
    <n v="3550"/>
    <n v="1345"/>
    <n v="6015"/>
    <n v="988"/>
    <n v="1217"/>
    <n v="106"/>
    <x v="0"/>
    <n v="5"/>
    <x v="5"/>
  </r>
  <r>
    <x v="351"/>
    <x v="2"/>
    <n v="8327"/>
    <n v="3352"/>
    <n v="5253"/>
    <n v="4264"/>
    <n v="711"/>
    <n v="80"/>
    <x v="4"/>
    <n v="10"/>
    <x v="1"/>
  </r>
  <r>
    <x v="352"/>
    <x v="2"/>
    <n v="5543"/>
    <n v="621"/>
    <n v="8850"/>
    <n v="4589"/>
    <n v="333"/>
    <n v="103"/>
    <x v="2"/>
    <n v="4"/>
    <x v="0"/>
  </r>
  <r>
    <x v="353"/>
    <x v="3"/>
    <n v="11896"/>
    <n v="5942"/>
    <n v="9907"/>
    <n v="4451"/>
    <n v="1503"/>
    <n v="50"/>
    <x v="0"/>
    <n v="3"/>
    <x v="7"/>
  </r>
  <r>
    <x v="354"/>
    <x v="2"/>
    <n v="2480"/>
    <n v="-55"/>
    <n v="5715"/>
    <n v="1164"/>
    <n v="1371"/>
    <n v="115"/>
    <x v="2"/>
    <n v="3"/>
    <x v="7"/>
  </r>
  <r>
    <x v="355"/>
    <x v="1"/>
    <n v="4182"/>
    <n v="-446"/>
    <n v="8918"/>
    <n v="3662"/>
    <n v="966"/>
    <n v="108"/>
    <x v="3"/>
    <n v="1"/>
    <x v="7"/>
  </r>
  <r>
    <x v="356"/>
    <x v="0"/>
    <n v="3940"/>
    <n v="1716"/>
    <n v="9914"/>
    <n v="1592"/>
    <n v="632"/>
    <n v="105"/>
    <x v="2"/>
    <n v="6"/>
    <x v="1"/>
  </r>
  <r>
    <x v="357"/>
    <x v="2"/>
    <n v="3467"/>
    <n v="-584"/>
    <n v="4792"/>
    <n v="2643"/>
    <n v="1408"/>
    <n v="99"/>
    <x v="1"/>
    <n v="9"/>
    <x v="5"/>
  </r>
  <r>
    <x v="267"/>
    <x v="0"/>
    <n v="10758"/>
    <n v="7768"/>
    <n v="6452"/>
    <n v="2739"/>
    <n v="251"/>
    <n v="36"/>
    <x v="4"/>
    <n v="4"/>
    <x v="3"/>
  </r>
  <r>
    <x v="358"/>
    <x v="3"/>
    <n v="5597"/>
    <n v="1007"/>
    <n v="9555"/>
    <n v="4349"/>
    <n v="241"/>
    <n v="118"/>
    <x v="1"/>
    <n v="7"/>
    <x v="3"/>
  </r>
  <r>
    <x v="359"/>
    <x v="1"/>
    <n v="9955"/>
    <n v="3515"/>
    <n v="5073"/>
    <n v="4609"/>
    <n v="1831"/>
    <n v="110"/>
    <x v="3"/>
    <n v="4"/>
    <x v="11"/>
  </r>
  <r>
    <x v="360"/>
    <x v="0"/>
    <n v="10723"/>
    <n v="5770"/>
    <n v="8309"/>
    <n v="4728"/>
    <n v="225"/>
    <n v="106"/>
    <x v="3"/>
    <n v="1"/>
    <x v="9"/>
  </r>
  <r>
    <x v="361"/>
    <x v="2"/>
    <n v="4797"/>
    <n v="-1839"/>
    <n v="4459"/>
    <n v="4744"/>
    <n v="1892"/>
    <n v="80"/>
    <x v="4"/>
    <n v="4"/>
    <x v="0"/>
  </r>
  <r>
    <x v="362"/>
    <x v="2"/>
    <n v="6599"/>
    <n v="4862"/>
    <n v="6928"/>
    <n v="1157"/>
    <n v="580"/>
    <n v="91"/>
    <x v="2"/>
    <n v="7"/>
    <x v="6"/>
  </r>
  <r>
    <x v="363"/>
    <x v="1"/>
    <n v="2851"/>
    <n v="-2693"/>
    <n v="4555"/>
    <n v="3949"/>
    <n v="1595"/>
    <n v="89"/>
    <x v="3"/>
    <n v="2"/>
    <x v="3"/>
  </r>
  <r>
    <x v="364"/>
    <x v="3"/>
    <n v="7612"/>
    <n v="3079"/>
    <n v="5395"/>
    <n v="2597"/>
    <n v="1936"/>
    <n v="56"/>
    <x v="3"/>
    <n v="8"/>
    <x v="11"/>
  </r>
  <r>
    <x v="365"/>
    <x v="2"/>
    <n v="9954"/>
    <n v="3963"/>
    <n v="6886"/>
    <n v="4182"/>
    <n v="1809"/>
    <n v="118"/>
    <x v="1"/>
    <n v="8"/>
    <x v="6"/>
  </r>
  <r>
    <x v="137"/>
    <x v="0"/>
    <n v="11026"/>
    <n v="7340"/>
    <n v="8809"/>
    <n v="2809"/>
    <n v="877"/>
    <n v="98"/>
    <x v="1"/>
    <n v="5"/>
    <x v="4"/>
  </r>
  <r>
    <x v="272"/>
    <x v="1"/>
    <n v="2520"/>
    <n v="-344"/>
    <n v="6217"/>
    <n v="2341"/>
    <n v="523"/>
    <n v="110"/>
    <x v="1"/>
    <n v="10"/>
    <x v="8"/>
  </r>
  <r>
    <x v="366"/>
    <x v="3"/>
    <n v="9083"/>
    <n v="5198"/>
    <n v="6428"/>
    <n v="2425"/>
    <n v="1460"/>
    <n v="66"/>
    <x v="0"/>
    <n v="4"/>
    <x v="11"/>
  </r>
  <r>
    <x v="367"/>
    <x v="3"/>
    <n v="7557"/>
    <n v="3662"/>
    <n v="4974"/>
    <n v="2937"/>
    <n v="958"/>
    <n v="75"/>
    <x v="2"/>
    <n v="5"/>
    <x v="9"/>
  </r>
  <r>
    <x v="339"/>
    <x v="3"/>
    <n v="5579"/>
    <n v="-162"/>
    <n v="8832"/>
    <n v="4630"/>
    <n v="1111"/>
    <n v="33"/>
    <x v="1"/>
    <n v="3"/>
    <x v="1"/>
  </r>
  <r>
    <x v="368"/>
    <x v="1"/>
    <n v="3367"/>
    <n v="-1912"/>
    <n v="7568"/>
    <n v="3323"/>
    <n v="1956"/>
    <n v="120"/>
    <x v="2"/>
    <n v="9"/>
    <x v="8"/>
  </r>
  <r>
    <x v="369"/>
    <x v="1"/>
    <n v="3213"/>
    <n v="402"/>
    <n v="8082"/>
    <n v="829"/>
    <n v="1982"/>
    <n v="62"/>
    <x v="3"/>
    <n v="7"/>
    <x v="6"/>
  </r>
  <r>
    <x v="370"/>
    <x v="3"/>
    <n v="10229"/>
    <n v="7558"/>
    <n v="8887"/>
    <n v="1622"/>
    <n v="1049"/>
    <n v="108"/>
    <x v="2"/>
    <n v="5"/>
    <x v="5"/>
  </r>
  <r>
    <x v="5"/>
    <x v="2"/>
    <n v="10539"/>
    <n v="4821"/>
    <n v="7574"/>
    <n v="4727"/>
    <n v="991"/>
    <n v="95"/>
    <x v="0"/>
    <n v="7"/>
    <x v="4"/>
  </r>
  <r>
    <x v="371"/>
    <x v="2"/>
    <n v="7335"/>
    <n v="4133"/>
    <n v="5227"/>
    <n v="1631"/>
    <n v="1571"/>
    <n v="68"/>
    <x v="0"/>
    <n v="8"/>
    <x v="4"/>
  </r>
  <r>
    <x v="372"/>
    <x v="0"/>
    <n v="9998"/>
    <n v="3935"/>
    <n v="7706"/>
    <n v="4664"/>
    <n v="1399"/>
    <n v="48"/>
    <x v="0"/>
    <n v="10"/>
    <x v="4"/>
  </r>
  <r>
    <x v="373"/>
    <x v="2"/>
    <n v="7618"/>
    <n v="2241"/>
    <n v="9655"/>
    <n v="4688"/>
    <n v="689"/>
    <n v="40"/>
    <x v="1"/>
    <n v="10"/>
    <x v="8"/>
  </r>
  <r>
    <x v="374"/>
    <x v="2"/>
    <n v="3201"/>
    <n v="-38"/>
    <n v="9791"/>
    <n v="1834"/>
    <n v="1405"/>
    <n v="74"/>
    <x v="3"/>
    <n v="3"/>
    <x v="6"/>
  </r>
  <r>
    <x v="375"/>
    <x v="0"/>
    <n v="5872"/>
    <n v="-810"/>
    <n v="8573"/>
    <n v="4707"/>
    <n v="1975"/>
    <n v="65"/>
    <x v="4"/>
    <n v="5"/>
    <x v="1"/>
  </r>
  <r>
    <x v="376"/>
    <x v="3"/>
    <n v="4915"/>
    <n v="-149"/>
    <n v="6000"/>
    <n v="3481"/>
    <n v="1583"/>
    <n v="89"/>
    <x v="2"/>
    <n v="2"/>
    <x v="4"/>
  </r>
  <r>
    <x v="377"/>
    <x v="2"/>
    <n v="2219"/>
    <n v="-2159"/>
    <n v="8298"/>
    <n v="3308"/>
    <n v="1070"/>
    <n v="86"/>
    <x v="3"/>
    <n v="8"/>
    <x v="9"/>
  </r>
  <r>
    <x v="93"/>
    <x v="3"/>
    <n v="9884"/>
    <n v="5060"/>
    <n v="9683"/>
    <n v="3679"/>
    <n v="1145"/>
    <n v="59"/>
    <x v="4"/>
    <n v="8"/>
    <x v="0"/>
  </r>
  <r>
    <x v="378"/>
    <x v="1"/>
    <n v="4200"/>
    <n v="878"/>
    <n v="8614"/>
    <n v="2727"/>
    <n v="595"/>
    <n v="53"/>
    <x v="4"/>
    <n v="6"/>
    <x v="5"/>
  </r>
  <r>
    <x v="379"/>
    <x v="0"/>
    <n v="3079"/>
    <n v="-509"/>
    <n v="6576"/>
    <n v="3033"/>
    <n v="555"/>
    <n v="94"/>
    <x v="3"/>
    <n v="8"/>
    <x v="3"/>
  </r>
  <r>
    <x v="380"/>
    <x v="0"/>
    <n v="2069"/>
    <n v="-2469"/>
    <n v="7359"/>
    <n v="4218"/>
    <n v="320"/>
    <n v="98"/>
    <x v="2"/>
    <n v="8"/>
    <x v="1"/>
  </r>
  <r>
    <x v="381"/>
    <x v="1"/>
    <n v="9106"/>
    <n v="6778"/>
    <n v="9949"/>
    <n v="830"/>
    <n v="1498"/>
    <n v="26"/>
    <x v="4"/>
    <n v="3"/>
    <x v="1"/>
  </r>
  <r>
    <x v="382"/>
    <x v="1"/>
    <n v="2004"/>
    <n v="-2002"/>
    <n v="7786"/>
    <n v="3291"/>
    <n v="715"/>
    <n v="39"/>
    <x v="1"/>
    <n v="5"/>
    <x v="1"/>
  </r>
  <r>
    <x v="383"/>
    <x v="0"/>
    <n v="5521"/>
    <n v="3826"/>
    <n v="5300"/>
    <n v="866"/>
    <n v="829"/>
    <n v="73"/>
    <x v="4"/>
    <n v="2"/>
    <x v="3"/>
  </r>
  <r>
    <x v="384"/>
    <x v="0"/>
    <n v="6000"/>
    <n v="2898"/>
    <n v="8779"/>
    <n v="1134"/>
    <n v="1968"/>
    <n v="71"/>
    <x v="4"/>
    <n v="2"/>
    <x v="10"/>
  </r>
  <r>
    <x v="297"/>
    <x v="3"/>
    <n v="9847"/>
    <n v="6447"/>
    <n v="8518"/>
    <n v="1794"/>
    <n v="1606"/>
    <n v="85"/>
    <x v="1"/>
    <n v="6"/>
    <x v="3"/>
  </r>
  <r>
    <x v="385"/>
    <x v="2"/>
    <n v="9423"/>
    <n v="3517"/>
    <n v="5518"/>
    <n v="4285"/>
    <n v="1621"/>
    <n v="116"/>
    <x v="2"/>
    <n v="6"/>
    <x v="6"/>
  </r>
  <r>
    <x v="15"/>
    <x v="0"/>
    <n v="2861"/>
    <n v="1459"/>
    <n v="5166"/>
    <n v="1035"/>
    <n v="367"/>
    <n v="83"/>
    <x v="2"/>
    <n v="1"/>
    <x v="7"/>
  </r>
  <r>
    <x v="386"/>
    <x v="3"/>
    <n v="6308"/>
    <n v="3128"/>
    <n v="8923"/>
    <n v="2436"/>
    <n v="744"/>
    <n v="34"/>
    <x v="4"/>
    <n v="8"/>
    <x v="9"/>
  </r>
  <r>
    <x v="387"/>
    <x v="2"/>
    <n v="2654"/>
    <n v="-998"/>
    <n v="9097"/>
    <n v="2861"/>
    <n v="791"/>
    <n v="20"/>
    <x v="2"/>
    <n v="8"/>
    <x v="2"/>
  </r>
  <r>
    <x v="388"/>
    <x v="0"/>
    <n v="2056"/>
    <n v="-2129"/>
    <n v="6677"/>
    <n v="2466"/>
    <n v="1719"/>
    <n v="46"/>
    <x v="4"/>
    <n v="4"/>
    <x v="10"/>
  </r>
  <r>
    <x v="345"/>
    <x v="1"/>
    <n v="2619"/>
    <n v="-1381"/>
    <n v="4183"/>
    <n v="3040"/>
    <n v="960"/>
    <n v="62"/>
    <x v="3"/>
    <n v="4"/>
    <x v="10"/>
  </r>
  <r>
    <x v="389"/>
    <x v="1"/>
    <n v="6041"/>
    <n v="814"/>
    <n v="8333"/>
    <n v="4822"/>
    <n v="405"/>
    <n v="41"/>
    <x v="0"/>
    <n v="8"/>
    <x v="10"/>
  </r>
  <r>
    <x v="390"/>
    <x v="2"/>
    <n v="4523"/>
    <n v="-972"/>
    <n v="8634"/>
    <n v="3714"/>
    <n v="1781"/>
    <n v="62"/>
    <x v="1"/>
    <n v="6"/>
    <x v="5"/>
  </r>
  <r>
    <x v="111"/>
    <x v="0"/>
    <n v="6053"/>
    <n v="2355"/>
    <n v="4553"/>
    <n v="2243"/>
    <n v="1455"/>
    <n v="62"/>
    <x v="3"/>
    <n v="3"/>
    <x v="11"/>
  </r>
  <r>
    <x v="391"/>
    <x v="2"/>
    <n v="7119"/>
    <n v="2121"/>
    <n v="8580"/>
    <n v="3110"/>
    <n v="1888"/>
    <n v="115"/>
    <x v="0"/>
    <n v="9"/>
    <x v="10"/>
  </r>
  <r>
    <x v="305"/>
    <x v="3"/>
    <n v="8796"/>
    <n v="5203"/>
    <n v="9149"/>
    <n v="2773"/>
    <n v="820"/>
    <n v="21"/>
    <x v="4"/>
    <n v="1"/>
    <x v="10"/>
  </r>
  <r>
    <x v="392"/>
    <x v="0"/>
    <n v="9118"/>
    <n v="5504"/>
    <n v="9443"/>
    <n v="2403"/>
    <n v="1211"/>
    <n v="61"/>
    <x v="4"/>
    <n v="9"/>
    <x v="2"/>
  </r>
  <r>
    <x v="283"/>
    <x v="0"/>
    <n v="6065"/>
    <n v="3267"/>
    <n v="7249"/>
    <n v="2143"/>
    <n v="655"/>
    <n v="112"/>
    <x v="4"/>
    <n v="7"/>
    <x v="7"/>
  </r>
  <r>
    <x v="393"/>
    <x v="3"/>
    <n v="7318"/>
    <n v="1940"/>
    <n v="8103"/>
    <n v="3970"/>
    <n v="1408"/>
    <n v="41"/>
    <x v="2"/>
    <n v="1"/>
    <x v="7"/>
  </r>
  <r>
    <x v="394"/>
    <x v="3"/>
    <n v="6746"/>
    <n v="1523"/>
    <n v="8860"/>
    <n v="4564"/>
    <n v="659"/>
    <n v="86"/>
    <x v="2"/>
    <n v="1"/>
    <x v="4"/>
  </r>
  <r>
    <x v="395"/>
    <x v="1"/>
    <n v="10771"/>
    <n v="6027"/>
    <n v="4206"/>
    <n v="4186"/>
    <n v="558"/>
    <n v="87"/>
    <x v="1"/>
    <n v="8"/>
    <x v="1"/>
  </r>
  <r>
    <x v="396"/>
    <x v="1"/>
    <n v="3240"/>
    <n v="-2527"/>
    <n v="6388"/>
    <n v="4824"/>
    <n v="943"/>
    <n v="100"/>
    <x v="0"/>
    <n v="6"/>
    <x v="10"/>
  </r>
  <r>
    <x v="38"/>
    <x v="2"/>
    <n v="6756"/>
    <n v="3363"/>
    <n v="7206"/>
    <n v="2900"/>
    <n v="493"/>
    <n v="33"/>
    <x v="4"/>
    <n v="9"/>
    <x v="10"/>
  </r>
  <r>
    <x v="397"/>
    <x v="1"/>
    <n v="6705"/>
    <n v="1833"/>
    <n v="5635"/>
    <n v="4382"/>
    <n v="490"/>
    <n v="108"/>
    <x v="2"/>
    <n v="8"/>
    <x v="5"/>
  </r>
  <r>
    <x v="398"/>
    <x v="3"/>
    <n v="7133"/>
    <n v="5221"/>
    <n v="5923"/>
    <n v="1436"/>
    <n v="476"/>
    <n v="90"/>
    <x v="3"/>
    <n v="10"/>
    <x v="6"/>
  </r>
  <r>
    <x v="399"/>
    <x v="3"/>
    <n v="7817"/>
    <n v="3175"/>
    <n v="8503"/>
    <n v="3677"/>
    <n v="965"/>
    <n v="40"/>
    <x v="1"/>
    <n v="4"/>
    <x v="0"/>
  </r>
  <r>
    <x v="0"/>
    <x v="3"/>
    <n v="8857"/>
    <n v="3718"/>
    <n v="4500"/>
    <n v="3866"/>
    <n v="1273"/>
    <n v="16"/>
    <x v="1"/>
    <n v="9"/>
    <x v="0"/>
  </r>
  <r>
    <x v="114"/>
    <x v="2"/>
    <n v="4059"/>
    <n v="-785"/>
    <n v="4432"/>
    <n v="4431"/>
    <n v="413"/>
    <n v="115"/>
    <x v="3"/>
    <n v="9"/>
    <x v="7"/>
  </r>
  <r>
    <x v="400"/>
    <x v="0"/>
    <n v="6345"/>
    <n v="2985"/>
    <n v="5808"/>
    <n v="2354"/>
    <n v="1006"/>
    <n v="116"/>
    <x v="4"/>
    <n v="8"/>
    <x v="11"/>
  </r>
  <r>
    <x v="273"/>
    <x v="0"/>
    <n v="5987"/>
    <n v="1802"/>
    <n v="7999"/>
    <n v="3957"/>
    <n v="228"/>
    <n v="116"/>
    <x v="3"/>
    <n v="3"/>
    <x v="1"/>
  </r>
  <r>
    <x v="208"/>
    <x v="2"/>
    <n v="3276"/>
    <n v="707"/>
    <n v="5238"/>
    <n v="1704"/>
    <n v="865"/>
    <n v="26"/>
    <x v="3"/>
    <n v="2"/>
    <x v="9"/>
  </r>
  <r>
    <x v="401"/>
    <x v="0"/>
    <n v="10932"/>
    <n v="6250"/>
    <n v="8493"/>
    <n v="3579"/>
    <n v="1103"/>
    <n v="99"/>
    <x v="2"/>
    <n v="6"/>
    <x v="1"/>
  </r>
  <r>
    <x v="402"/>
    <x v="2"/>
    <n v="3473"/>
    <n v="486"/>
    <n v="7208"/>
    <n v="2721"/>
    <n v="266"/>
    <n v="54"/>
    <x v="4"/>
    <n v="1"/>
    <x v="5"/>
  </r>
  <r>
    <x v="403"/>
    <x v="1"/>
    <n v="4580"/>
    <n v="1061"/>
    <n v="9088"/>
    <n v="2956"/>
    <n v="563"/>
    <n v="38"/>
    <x v="2"/>
    <n v="4"/>
    <x v="9"/>
  </r>
  <r>
    <x v="21"/>
    <x v="0"/>
    <n v="2101"/>
    <n v="-2271"/>
    <n v="9849"/>
    <n v="3927"/>
    <n v="445"/>
    <n v="64"/>
    <x v="3"/>
    <n v="9"/>
    <x v="3"/>
  </r>
  <r>
    <x v="158"/>
    <x v="2"/>
    <n v="4812"/>
    <n v="-969"/>
    <n v="8706"/>
    <n v="4989"/>
    <n v="792"/>
    <n v="47"/>
    <x v="2"/>
    <n v="2"/>
    <x v="1"/>
  </r>
  <r>
    <x v="404"/>
    <x v="3"/>
    <n v="3271"/>
    <n v="1757"/>
    <n v="8376"/>
    <n v="1023"/>
    <n v="491"/>
    <n v="116"/>
    <x v="3"/>
    <n v="9"/>
    <x v="9"/>
  </r>
  <r>
    <x v="107"/>
    <x v="3"/>
    <n v="9729"/>
    <n v="7747"/>
    <n v="9982"/>
    <n v="1471"/>
    <n v="511"/>
    <n v="52"/>
    <x v="1"/>
    <n v="9"/>
    <x v="11"/>
  </r>
  <r>
    <x v="405"/>
    <x v="3"/>
    <n v="5086"/>
    <n v="2704"/>
    <n v="6022"/>
    <n v="2147"/>
    <n v="235"/>
    <n v="73"/>
    <x v="4"/>
    <n v="4"/>
    <x v="6"/>
  </r>
  <r>
    <x v="406"/>
    <x v="1"/>
    <n v="4773"/>
    <n v="-1315"/>
    <n v="5163"/>
    <n v="4548"/>
    <n v="1540"/>
    <n v="30"/>
    <x v="3"/>
    <n v="2"/>
    <x v="6"/>
  </r>
  <r>
    <x v="407"/>
    <x v="2"/>
    <n v="2891"/>
    <n v="105"/>
    <n v="4051"/>
    <n v="2508"/>
    <n v="278"/>
    <n v="29"/>
    <x v="3"/>
    <n v="8"/>
    <x v="1"/>
  </r>
  <r>
    <x v="58"/>
    <x v="2"/>
    <n v="3341"/>
    <n v="-2895"/>
    <n v="4928"/>
    <n v="4624"/>
    <n v="1612"/>
    <n v="76"/>
    <x v="2"/>
    <n v="3"/>
    <x v="6"/>
  </r>
  <r>
    <x v="408"/>
    <x v="2"/>
    <n v="6155"/>
    <n v="1320"/>
    <n v="8297"/>
    <n v="2945"/>
    <n v="1890"/>
    <n v="91"/>
    <x v="3"/>
    <n v="5"/>
    <x v="9"/>
  </r>
  <r>
    <x v="409"/>
    <x v="1"/>
    <n v="3821"/>
    <n v="-286"/>
    <n v="6438"/>
    <n v="3218"/>
    <n v="889"/>
    <n v="30"/>
    <x v="1"/>
    <n v="4"/>
    <x v="9"/>
  </r>
  <r>
    <x v="410"/>
    <x v="3"/>
    <n v="7616"/>
    <n v="4790"/>
    <n v="5748"/>
    <n v="1794"/>
    <n v="1032"/>
    <n v="105"/>
    <x v="0"/>
    <n v="4"/>
    <x v="8"/>
  </r>
  <r>
    <x v="195"/>
    <x v="2"/>
    <n v="10165"/>
    <n v="7229"/>
    <n v="9267"/>
    <n v="1123"/>
    <n v="1813"/>
    <n v="24"/>
    <x v="0"/>
    <n v="8"/>
    <x v="4"/>
  </r>
  <r>
    <x v="411"/>
    <x v="1"/>
    <n v="11026"/>
    <n v="6337"/>
    <n v="9428"/>
    <n v="3918"/>
    <n v="771"/>
    <n v="79"/>
    <x v="1"/>
    <n v="6"/>
    <x v="10"/>
  </r>
  <r>
    <x v="412"/>
    <x v="1"/>
    <n v="11166"/>
    <n v="8526"/>
    <n v="6535"/>
    <n v="1556"/>
    <n v="1084"/>
    <n v="32"/>
    <x v="3"/>
    <n v="9"/>
    <x v="3"/>
  </r>
  <r>
    <x v="240"/>
    <x v="0"/>
    <n v="4047"/>
    <n v="-546"/>
    <n v="4905"/>
    <n v="3299"/>
    <n v="1294"/>
    <n v="83"/>
    <x v="0"/>
    <n v="6"/>
    <x v="9"/>
  </r>
  <r>
    <x v="413"/>
    <x v="0"/>
    <n v="4146"/>
    <n v="1080"/>
    <n v="8869"/>
    <n v="1328"/>
    <n v="1738"/>
    <n v="72"/>
    <x v="1"/>
    <n v="7"/>
    <x v="7"/>
  </r>
  <r>
    <x v="414"/>
    <x v="0"/>
    <n v="8663"/>
    <n v="2920"/>
    <n v="7303"/>
    <n v="3881"/>
    <n v="1862"/>
    <n v="30"/>
    <x v="1"/>
    <n v="5"/>
    <x v="10"/>
  </r>
  <r>
    <x v="415"/>
    <x v="0"/>
    <n v="6245"/>
    <n v="-571"/>
    <n v="8548"/>
    <n v="4970"/>
    <n v="1846"/>
    <n v="15"/>
    <x v="0"/>
    <n v="3"/>
    <x v="10"/>
  </r>
  <r>
    <x v="416"/>
    <x v="3"/>
    <n v="4487"/>
    <n v="2364"/>
    <n v="4929"/>
    <n v="1632"/>
    <n v="491"/>
    <n v="39"/>
    <x v="4"/>
    <n v="4"/>
    <x v="6"/>
  </r>
  <r>
    <x v="417"/>
    <x v="3"/>
    <n v="11789"/>
    <n v="8753"/>
    <n v="4234"/>
    <n v="2260"/>
    <n v="776"/>
    <n v="59"/>
    <x v="1"/>
    <n v="3"/>
    <x v="1"/>
  </r>
  <r>
    <x v="418"/>
    <x v="0"/>
    <n v="5981"/>
    <n v="590"/>
    <n v="6389"/>
    <n v="4591"/>
    <n v="800"/>
    <n v="16"/>
    <x v="4"/>
    <n v="2"/>
    <x v="9"/>
  </r>
  <r>
    <x v="419"/>
    <x v="2"/>
    <n v="2976"/>
    <n v="-3237"/>
    <n v="7709"/>
    <n v="4805"/>
    <n v="1408"/>
    <n v="34"/>
    <x v="0"/>
    <n v="8"/>
    <x v="7"/>
  </r>
  <r>
    <x v="420"/>
    <x v="1"/>
    <n v="2704"/>
    <n v="-3980"/>
    <n v="9914"/>
    <n v="4961"/>
    <n v="1723"/>
    <n v="91"/>
    <x v="0"/>
    <n v="2"/>
    <x v="5"/>
  </r>
  <r>
    <x v="333"/>
    <x v="1"/>
    <n v="6677"/>
    <n v="2240"/>
    <n v="6136"/>
    <n v="2898"/>
    <n v="1539"/>
    <n v="37"/>
    <x v="0"/>
    <n v="10"/>
    <x v="6"/>
  </r>
  <r>
    <x v="421"/>
    <x v="1"/>
    <n v="7177"/>
    <n v="3193"/>
    <n v="4996"/>
    <n v="2601"/>
    <n v="1383"/>
    <n v="24"/>
    <x v="1"/>
    <n v="9"/>
    <x v="11"/>
  </r>
  <r>
    <x v="422"/>
    <x v="2"/>
    <n v="3201"/>
    <n v="-1465"/>
    <n v="4955"/>
    <n v="4411"/>
    <n v="255"/>
    <n v="107"/>
    <x v="2"/>
    <n v="2"/>
    <x v="4"/>
  </r>
  <r>
    <x v="423"/>
    <x v="2"/>
    <n v="11198"/>
    <n v="6743"/>
    <n v="8807"/>
    <n v="4104"/>
    <n v="351"/>
    <n v="16"/>
    <x v="0"/>
    <n v="4"/>
    <x v="11"/>
  </r>
  <r>
    <x v="424"/>
    <x v="0"/>
    <n v="6123"/>
    <n v="4270"/>
    <n v="4406"/>
    <n v="1297"/>
    <n v="556"/>
    <n v="37"/>
    <x v="1"/>
    <n v="1"/>
    <x v="0"/>
  </r>
  <r>
    <x v="136"/>
    <x v="1"/>
    <n v="8195"/>
    <n v="2889"/>
    <n v="5535"/>
    <n v="4208"/>
    <n v="1098"/>
    <n v="84"/>
    <x v="4"/>
    <n v="8"/>
    <x v="10"/>
  </r>
  <r>
    <x v="47"/>
    <x v="2"/>
    <n v="5865"/>
    <n v="1046"/>
    <n v="7540"/>
    <n v="3468"/>
    <n v="1351"/>
    <n v="36"/>
    <x v="0"/>
    <n v="3"/>
    <x v="0"/>
  </r>
  <r>
    <x v="425"/>
    <x v="2"/>
    <n v="5163"/>
    <n v="757"/>
    <n v="4255"/>
    <n v="3465"/>
    <n v="941"/>
    <n v="90"/>
    <x v="0"/>
    <n v="7"/>
    <x v="8"/>
  </r>
  <r>
    <x v="426"/>
    <x v="0"/>
    <n v="5861"/>
    <n v="4314"/>
    <n v="4109"/>
    <n v="1224"/>
    <n v="323"/>
    <n v="26"/>
    <x v="0"/>
    <n v="4"/>
    <x v="7"/>
  </r>
  <r>
    <x v="427"/>
    <x v="0"/>
    <n v="5267"/>
    <n v="-131"/>
    <n v="9251"/>
    <n v="4547"/>
    <n v="851"/>
    <n v="42"/>
    <x v="2"/>
    <n v="1"/>
    <x v="9"/>
  </r>
  <r>
    <x v="183"/>
    <x v="1"/>
    <n v="5555"/>
    <n v="3286"/>
    <n v="9570"/>
    <n v="850"/>
    <n v="1419"/>
    <n v="28"/>
    <x v="3"/>
    <n v="7"/>
    <x v="7"/>
  </r>
  <r>
    <x v="428"/>
    <x v="1"/>
    <n v="9161"/>
    <n v="3958"/>
    <n v="4864"/>
    <n v="3649"/>
    <n v="1554"/>
    <n v="95"/>
    <x v="2"/>
    <n v="6"/>
    <x v="2"/>
  </r>
  <r>
    <x v="429"/>
    <x v="0"/>
    <n v="4574"/>
    <n v="282"/>
    <n v="7941"/>
    <n v="2859"/>
    <n v="1433"/>
    <n v="62"/>
    <x v="1"/>
    <n v="8"/>
    <x v="6"/>
  </r>
  <r>
    <x v="430"/>
    <x v="2"/>
    <n v="11434"/>
    <n v="7608"/>
    <n v="4077"/>
    <n v="3061"/>
    <n v="765"/>
    <n v="54"/>
    <x v="0"/>
    <n v="5"/>
    <x v="1"/>
  </r>
  <r>
    <x v="431"/>
    <x v="2"/>
    <n v="5806"/>
    <n v="3413"/>
    <n v="6669"/>
    <n v="1016"/>
    <n v="1377"/>
    <n v="62"/>
    <x v="3"/>
    <n v="1"/>
    <x v="4"/>
  </r>
  <r>
    <x v="432"/>
    <x v="3"/>
    <n v="4337"/>
    <n v="-1943"/>
    <n v="7678"/>
    <n v="4409"/>
    <n v="1871"/>
    <n v="34"/>
    <x v="3"/>
    <n v="4"/>
    <x v="10"/>
  </r>
  <r>
    <x v="312"/>
    <x v="3"/>
    <n v="7404"/>
    <n v="2127"/>
    <n v="8704"/>
    <n v="3520"/>
    <n v="1757"/>
    <n v="64"/>
    <x v="4"/>
    <n v="8"/>
    <x v="5"/>
  </r>
  <r>
    <x v="93"/>
    <x v="0"/>
    <n v="8640"/>
    <n v="3172"/>
    <n v="4799"/>
    <n v="3926"/>
    <n v="1542"/>
    <n v="86"/>
    <x v="3"/>
    <n v="5"/>
    <x v="0"/>
  </r>
  <r>
    <x v="433"/>
    <x v="1"/>
    <n v="2942"/>
    <n v="-2441"/>
    <n v="5649"/>
    <n v="3820"/>
    <n v="1563"/>
    <n v="14"/>
    <x v="1"/>
    <n v="3"/>
    <x v="8"/>
  </r>
  <r>
    <x v="434"/>
    <x v="0"/>
    <n v="7967"/>
    <n v="5373"/>
    <n v="4252"/>
    <n v="944"/>
    <n v="1650"/>
    <n v="35"/>
    <x v="1"/>
    <n v="2"/>
    <x v="1"/>
  </r>
  <r>
    <x v="435"/>
    <x v="3"/>
    <n v="9327"/>
    <n v="4640"/>
    <n v="6682"/>
    <n v="4293"/>
    <n v="394"/>
    <n v="44"/>
    <x v="0"/>
    <n v="1"/>
    <x v="0"/>
  </r>
  <r>
    <x v="436"/>
    <x v="2"/>
    <n v="7162"/>
    <n v="2886"/>
    <n v="5389"/>
    <n v="2730"/>
    <n v="1546"/>
    <n v="100"/>
    <x v="1"/>
    <n v="8"/>
    <x v="6"/>
  </r>
  <r>
    <x v="437"/>
    <x v="2"/>
    <n v="2766"/>
    <n v="-35"/>
    <n v="5848"/>
    <n v="1067"/>
    <n v="1734"/>
    <n v="111"/>
    <x v="0"/>
    <n v="9"/>
    <x v="4"/>
  </r>
  <r>
    <x v="157"/>
    <x v="3"/>
    <n v="5342"/>
    <n v="2378"/>
    <n v="8173"/>
    <n v="1820"/>
    <n v="1144"/>
    <n v="48"/>
    <x v="0"/>
    <n v="10"/>
    <x v="0"/>
  </r>
  <r>
    <x v="438"/>
    <x v="2"/>
    <n v="7570"/>
    <n v="1883"/>
    <n v="6153"/>
    <n v="3805"/>
    <n v="1882"/>
    <n v="44"/>
    <x v="2"/>
    <n v="7"/>
    <x v="5"/>
  </r>
  <r>
    <x v="439"/>
    <x v="1"/>
    <n v="8000"/>
    <n v="4758"/>
    <n v="6998"/>
    <n v="2981"/>
    <n v="261"/>
    <n v="38"/>
    <x v="1"/>
    <n v="6"/>
    <x v="6"/>
  </r>
  <r>
    <x v="440"/>
    <x v="2"/>
    <n v="8510"/>
    <n v="4444"/>
    <n v="8819"/>
    <n v="2608"/>
    <n v="1458"/>
    <n v="114"/>
    <x v="4"/>
    <n v="5"/>
    <x v="0"/>
  </r>
  <r>
    <x v="441"/>
    <x v="0"/>
    <n v="8618"/>
    <n v="4739"/>
    <n v="5565"/>
    <n v="2369"/>
    <n v="1510"/>
    <n v="42"/>
    <x v="3"/>
    <n v="4"/>
    <x v="0"/>
  </r>
  <r>
    <x v="442"/>
    <x v="1"/>
    <n v="3874"/>
    <n v="2064"/>
    <n v="6534"/>
    <n v="1126"/>
    <n v="684"/>
    <n v="34"/>
    <x v="2"/>
    <n v="3"/>
    <x v="7"/>
  </r>
  <r>
    <x v="384"/>
    <x v="0"/>
    <n v="2853"/>
    <n v="1358"/>
    <n v="4166"/>
    <n v="1183"/>
    <n v="312"/>
    <n v="25"/>
    <x v="3"/>
    <n v="2"/>
    <x v="10"/>
  </r>
  <r>
    <x v="443"/>
    <x v="3"/>
    <n v="7314"/>
    <n v="5809"/>
    <n v="8399"/>
    <n v="914"/>
    <n v="591"/>
    <n v="19"/>
    <x v="2"/>
    <n v="10"/>
    <x v="3"/>
  </r>
  <r>
    <x v="444"/>
    <x v="3"/>
    <n v="2100"/>
    <n v="-2809"/>
    <n v="9013"/>
    <n v="4680"/>
    <n v="229"/>
    <n v="65"/>
    <x v="0"/>
    <n v="5"/>
    <x v="4"/>
  </r>
  <r>
    <x v="49"/>
    <x v="1"/>
    <n v="11481"/>
    <n v="8869"/>
    <n v="4477"/>
    <n v="952"/>
    <n v="1660"/>
    <n v="11"/>
    <x v="4"/>
    <n v="8"/>
    <x v="8"/>
  </r>
  <r>
    <x v="445"/>
    <x v="1"/>
    <n v="9458"/>
    <n v="4067"/>
    <n v="9510"/>
    <n v="4791"/>
    <n v="600"/>
    <n v="31"/>
    <x v="3"/>
    <n v="6"/>
    <x v="1"/>
  </r>
  <r>
    <x v="446"/>
    <x v="3"/>
    <n v="7930"/>
    <n v="3506"/>
    <n v="8257"/>
    <n v="3220"/>
    <n v="1204"/>
    <n v="57"/>
    <x v="0"/>
    <n v="8"/>
    <x v="2"/>
  </r>
  <r>
    <x v="149"/>
    <x v="2"/>
    <n v="11278"/>
    <n v="6770"/>
    <n v="5424"/>
    <n v="2726"/>
    <n v="1782"/>
    <n v="51"/>
    <x v="1"/>
    <n v="3"/>
    <x v="4"/>
  </r>
  <r>
    <x v="447"/>
    <x v="2"/>
    <n v="2983"/>
    <n v="-400"/>
    <n v="5072"/>
    <n v="1431"/>
    <n v="1952"/>
    <n v="107"/>
    <x v="3"/>
    <n v="5"/>
    <x v="7"/>
  </r>
  <r>
    <x v="285"/>
    <x v="1"/>
    <n v="11841"/>
    <n v="7608"/>
    <n v="4536"/>
    <n v="3205"/>
    <n v="1028"/>
    <n v="118"/>
    <x v="2"/>
    <n v="8"/>
    <x v="9"/>
  </r>
  <r>
    <x v="448"/>
    <x v="1"/>
    <n v="7785"/>
    <n v="5425"/>
    <n v="4078"/>
    <n v="1159"/>
    <n v="1201"/>
    <n v="76"/>
    <x v="3"/>
    <n v="1"/>
    <x v="4"/>
  </r>
  <r>
    <x v="449"/>
    <x v="0"/>
    <n v="10222"/>
    <n v="3678"/>
    <n v="4583"/>
    <n v="4758"/>
    <n v="1786"/>
    <n v="116"/>
    <x v="1"/>
    <n v="5"/>
    <x v="1"/>
  </r>
  <r>
    <x v="211"/>
    <x v="1"/>
    <n v="10915"/>
    <n v="8655"/>
    <n v="4463"/>
    <n v="1525"/>
    <n v="735"/>
    <n v="88"/>
    <x v="1"/>
    <n v="6"/>
    <x v="4"/>
  </r>
  <r>
    <x v="450"/>
    <x v="3"/>
    <n v="4739"/>
    <n v="964"/>
    <n v="6206"/>
    <n v="3291"/>
    <n v="484"/>
    <n v="18"/>
    <x v="1"/>
    <n v="1"/>
    <x v="1"/>
  </r>
  <r>
    <x v="451"/>
    <x v="1"/>
    <n v="9749"/>
    <n v="6022"/>
    <n v="9060"/>
    <n v="3009"/>
    <n v="718"/>
    <n v="51"/>
    <x v="4"/>
    <n v="7"/>
    <x v="5"/>
  </r>
  <r>
    <x v="452"/>
    <x v="0"/>
    <n v="5700"/>
    <n v="2268"/>
    <n v="4998"/>
    <n v="3065"/>
    <n v="367"/>
    <n v="100"/>
    <x v="1"/>
    <n v="3"/>
    <x v="1"/>
  </r>
  <r>
    <x v="297"/>
    <x v="2"/>
    <n v="11940"/>
    <n v="9116"/>
    <n v="5745"/>
    <n v="2146"/>
    <n v="678"/>
    <n v="36"/>
    <x v="1"/>
    <n v="6"/>
    <x v="3"/>
  </r>
  <r>
    <x v="453"/>
    <x v="3"/>
    <n v="5840"/>
    <n v="549"/>
    <n v="9785"/>
    <n v="3736"/>
    <n v="1555"/>
    <n v="100"/>
    <x v="0"/>
    <n v="4"/>
    <x v="1"/>
  </r>
  <r>
    <x v="3"/>
    <x v="1"/>
    <n v="10584"/>
    <n v="6167"/>
    <n v="9070"/>
    <n v="4197"/>
    <n v="220"/>
    <n v="29"/>
    <x v="1"/>
    <n v="10"/>
    <x v="2"/>
  </r>
  <r>
    <x v="454"/>
    <x v="1"/>
    <n v="6831"/>
    <n v="2232"/>
    <n v="4555"/>
    <n v="3764"/>
    <n v="835"/>
    <n v="68"/>
    <x v="1"/>
    <n v="1"/>
    <x v="11"/>
  </r>
  <r>
    <x v="455"/>
    <x v="0"/>
    <n v="10806"/>
    <n v="6624"/>
    <n v="6054"/>
    <n v="3577"/>
    <n v="605"/>
    <n v="17"/>
    <x v="4"/>
    <n v="1"/>
    <x v="10"/>
  </r>
  <r>
    <x v="456"/>
    <x v="2"/>
    <n v="2389"/>
    <n v="605"/>
    <n v="6336"/>
    <n v="827"/>
    <n v="957"/>
    <n v="67"/>
    <x v="4"/>
    <n v="1"/>
    <x v="5"/>
  </r>
  <r>
    <x v="457"/>
    <x v="2"/>
    <n v="6009"/>
    <n v="754"/>
    <n v="9644"/>
    <n v="3328"/>
    <n v="1927"/>
    <n v="21"/>
    <x v="2"/>
    <n v="1"/>
    <x v="11"/>
  </r>
  <r>
    <x v="353"/>
    <x v="3"/>
    <n v="8316"/>
    <n v="4133"/>
    <n v="8165"/>
    <n v="3587"/>
    <n v="596"/>
    <n v="101"/>
    <x v="2"/>
    <n v="2"/>
    <x v="7"/>
  </r>
  <r>
    <x v="458"/>
    <x v="2"/>
    <n v="5439"/>
    <n v="2480"/>
    <n v="7386"/>
    <n v="1090"/>
    <n v="1869"/>
    <n v="39"/>
    <x v="2"/>
    <n v="5"/>
    <x v="3"/>
  </r>
  <r>
    <x v="438"/>
    <x v="2"/>
    <n v="8378"/>
    <n v="4338"/>
    <n v="9522"/>
    <n v="2143"/>
    <n v="1897"/>
    <n v="48"/>
    <x v="3"/>
    <n v="2"/>
    <x v="5"/>
  </r>
  <r>
    <x v="459"/>
    <x v="2"/>
    <n v="10402"/>
    <n v="7351"/>
    <n v="9905"/>
    <n v="1058"/>
    <n v="1993"/>
    <n v="95"/>
    <x v="2"/>
    <n v="3"/>
    <x v="8"/>
  </r>
  <r>
    <x v="104"/>
    <x v="2"/>
    <n v="11817"/>
    <n v="6761"/>
    <n v="7071"/>
    <n v="4158"/>
    <n v="898"/>
    <n v="30"/>
    <x v="0"/>
    <n v="5"/>
    <x v="3"/>
  </r>
  <r>
    <x v="460"/>
    <x v="3"/>
    <n v="11441"/>
    <n v="9814"/>
    <n v="4518"/>
    <n v="1368"/>
    <n v="259"/>
    <n v="53"/>
    <x v="2"/>
    <n v="2"/>
    <x v="7"/>
  </r>
  <r>
    <x v="461"/>
    <x v="0"/>
    <n v="11091"/>
    <n v="4742"/>
    <n v="6648"/>
    <n v="4588"/>
    <n v="1761"/>
    <n v="85"/>
    <x v="4"/>
    <n v="2"/>
    <x v="2"/>
  </r>
  <r>
    <x v="462"/>
    <x v="3"/>
    <n v="11119"/>
    <n v="8190"/>
    <n v="8518"/>
    <n v="2382"/>
    <n v="547"/>
    <n v="87"/>
    <x v="3"/>
    <n v="3"/>
    <x v="6"/>
  </r>
  <r>
    <x v="463"/>
    <x v="1"/>
    <n v="5330"/>
    <n v="1828"/>
    <n v="6194"/>
    <n v="2234"/>
    <n v="1268"/>
    <n v="10"/>
    <x v="2"/>
    <n v="8"/>
    <x v="3"/>
  </r>
  <r>
    <x v="464"/>
    <x v="3"/>
    <n v="5264"/>
    <n v="750"/>
    <n v="6570"/>
    <n v="3725"/>
    <n v="789"/>
    <n v="16"/>
    <x v="2"/>
    <n v="2"/>
    <x v="8"/>
  </r>
  <r>
    <x v="465"/>
    <x v="3"/>
    <n v="7485"/>
    <n v="4339"/>
    <n v="4421"/>
    <n v="1336"/>
    <n v="1810"/>
    <n v="59"/>
    <x v="0"/>
    <n v="6"/>
    <x v="8"/>
  </r>
  <r>
    <x v="466"/>
    <x v="2"/>
    <n v="3566"/>
    <n v="1993"/>
    <n v="5680"/>
    <n v="1366"/>
    <n v="207"/>
    <n v="25"/>
    <x v="1"/>
    <n v="7"/>
    <x v="2"/>
  </r>
  <r>
    <x v="31"/>
    <x v="2"/>
    <n v="4038"/>
    <n v="-2874"/>
    <n v="4728"/>
    <n v="4915"/>
    <n v="1997"/>
    <n v="19"/>
    <x v="1"/>
    <n v="2"/>
    <x v="6"/>
  </r>
  <r>
    <x v="206"/>
    <x v="1"/>
    <n v="3031"/>
    <n v="-1186"/>
    <n v="4282"/>
    <n v="2506"/>
    <n v="1711"/>
    <n v="49"/>
    <x v="0"/>
    <n v="1"/>
    <x v="7"/>
  </r>
  <r>
    <x v="116"/>
    <x v="3"/>
    <n v="9993"/>
    <n v="6500"/>
    <n v="8777"/>
    <n v="1895"/>
    <n v="1598"/>
    <n v="110"/>
    <x v="2"/>
    <n v="1"/>
    <x v="4"/>
  </r>
  <r>
    <x v="295"/>
    <x v="0"/>
    <n v="2740"/>
    <n v="-359"/>
    <n v="8426"/>
    <n v="1106"/>
    <n v="1993"/>
    <n v="34"/>
    <x v="2"/>
    <n v="9"/>
    <x v="3"/>
  </r>
  <r>
    <x v="467"/>
    <x v="3"/>
    <n v="2894"/>
    <n v="-2796"/>
    <n v="7240"/>
    <n v="4926"/>
    <n v="764"/>
    <n v="30"/>
    <x v="3"/>
    <n v="3"/>
    <x v="5"/>
  </r>
  <r>
    <x v="468"/>
    <x v="0"/>
    <n v="7457"/>
    <n v="2175"/>
    <n v="9656"/>
    <n v="4357"/>
    <n v="925"/>
    <n v="113"/>
    <x v="1"/>
    <n v="7"/>
    <x v="5"/>
  </r>
  <r>
    <x v="56"/>
    <x v="2"/>
    <n v="8097"/>
    <n v="5184"/>
    <n v="5293"/>
    <n v="1745"/>
    <n v="1168"/>
    <n v="81"/>
    <x v="4"/>
    <n v="8"/>
    <x v="9"/>
  </r>
  <r>
    <x v="469"/>
    <x v="0"/>
    <n v="8041"/>
    <n v="2204"/>
    <n v="8016"/>
    <n v="4204"/>
    <n v="1633"/>
    <n v="118"/>
    <x v="3"/>
    <n v="10"/>
    <x v="10"/>
  </r>
  <r>
    <x v="81"/>
    <x v="1"/>
    <n v="9276"/>
    <n v="7472"/>
    <n v="4200"/>
    <n v="1357"/>
    <n v="447"/>
    <n v="93"/>
    <x v="0"/>
    <n v="4"/>
    <x v="9"/>
  </r>
  <r>
    <x v="455"/>
    <x v="1"/>
    <n v="5000"/>
    <n v="1603"/>
    <n v="7789"/>
    <n v="2569"/>
    <n v="828"/>
    <n v="53"/>
    <x v="2"/>
    <n v="1"/>
    <x v="10"/>
  </r>
  <r>
    <x v="470"/>
    <x v="2"/>
    <n v="7210"/>
    <n v="3111"/>
    <n v="9548"/>
    <n v="2933"/>
    <n v="1166"/>
    <n v="115"/>
    <x v="4"/>
    <n v="5"/>
    <x v="7"/>
  </r>
  <r>
    <x v="471"/>
    <x v="3"/>
    <n v="2534"/>
    <n v="-1718"/>
    <n v="6915"/>
    <n v="2881"/>
    <n v="1371"/>
    <n v="16"/>
    <x v="3"/>
    <n v="6"/>
    <x v="1"/>
  </r>
  <r>
    <x v="472"/>
    <x v="2"/>
    <n v="5357"/>
    <n v="-618"/>
    <n v="6532"/>
    <n v="4020"/>
    <n v="1955"/>
    <n v="11"/>
    <x v="1"/>
    <n v="3"/>
    <x v="10"/>
  </r>
  <r>
    <x v="473"/>
    <x v="0"/>
    <n v="4412"/>
    <n v="2146"/>
    <n v="7658"/>
    <n v="1503"/>
    <n v="763"/>
    <n v="83"/>
    <x v="1"/>
    <n v="10"/>
    <x v="0"/>
  </r>
  <r>
    <x v="134"/>
    <x v="3"/>
    <n v="10066"/>
    <n v="4505"/>
    <n v="6841"/>
    <n v="3704"/>
    <n v="1857"/>
    <n v="92"/>
    <x v="2"/>
    <n v="9"/>
    <x v="2"/>
  </r>
  <r>
    <x v="474"/>
    <x v="1"/>
    <n v="3976"/>
    <n v="2480"/>
    <n v="7322"/>
    <n v="955"/>
    <n v="541"/>
    <n v="57"/>
    <x v="1"/>
    <n v="2"/>
    <x v="5"/>
  </r>
  <r>
    <x v="475"/>
    <x v="3"/>
    <n v="8492"/>
    <n v="5675"/>
    <n v="5346"/>
    <n v="2024"/>
    <n v="793"/>
    <n v="52"/>
    <x v="0"/>
    <n v="1"/>
    <x v="5"/>
  </r>
  <r>
    <x v="393"/>
    <x v="0"/>
    <n v="9850"/>
    <n v="7221"/>
    <n v="6099"/>
    <n v="2286"/>
    <n v="343"/>
    <n v="77"/>
    <x v="3"/>
    <n v="10"/>
    <x v="7"/>
  </r>
  <r>
    <x v="476"/>
    <x v="3"/>
    <n v="5556"/>
    <n v="1768"/>
    <n v="6636"/>
    <n v="2881"/>
    <n v="907"/>
    <n v="96"/>
    <x v="0"/>
    <n v="7"/>
    <x v="3"/>
  </r>
  <r>
    <x v="477"/>
    <x v="1"/>
    <n v="6173"/>
    <n v="3597"/>
    <n v="8952"/>
    <n v="886"/>
    <n v="1690"/>
    <n v="98"/>
    <x v="1"/>
    <n v="4"/>
    <x v="3"/>
  </r>
  <r>
    <x v="478"/>
    <x v="0"/>
    <n v="11698"/>
    <n v="6613"/>
    <n v="9022"/>
    <n v="3414"/>
    <n v="1671"/>
    <n v="22"/>
    <x v="1"/>
    <n v="10"/>
    <x v="7"/>
  </r>
  <r>
    <x v="277"/>
    <x v="1"/>
    <n v="7388"/>
    <n v="2307"/>
    <n v="4586"/>
    <n v="4765"/>
    <n v="316"/>
    <n v="42"/>
    <x v="1"/>
    <n v="5"/>
    <x v="9"/>
  </r>
  <r>
    <x v="479"/>
    <x v="2"/>
    <n v="8692"/>
    <n v="6161"/>
    <n v="5846"/>
    <n v="1690"/>
    <n v="841"/>
    <n v="107"/>
    <x v="3"/>
    <n v="2"/>
    <x v="0"/>
  </r>
  <r>
    <x v="480"/>
    <x v="3"/>
    <n v="10281"/>
    <n v="6707"/>
    <n v="9789"/>
    <n v="2318"/>
    <n v="1256"/>
    <n v="90"/>
    <x v="3"/>
    <n v="1"/>
    <x v="7"/>
  </r>
  <r>
    <x v="481"/>
    <x v="3"/>
    <n v="2138"/>
    <n v="-31"/>
    <n v="4163"/>
    <n v="1267"/>
    <n v="902"/>
    <n v="66"/>
    <x v="3"/>
    <n v="3"/>
    <x v="8"/>
  </r>
  <r>
    <x v="191"/>
    <x v="1"/>
    <n v="7402"/>
    <n v="4771"/>
    <n v="6738"/>
    <n v="1472"/>
    <n v="1159"/>
    <n v="88"/>
    <x v="2"/>
    <n v="2"/>
    <x v="8"/>
  </r>
  <r>
    <x v="482"/>
    <x v="0"/>
    <n v="5259"/>
    <n v="-681"/>
    <n v="8837"/>
    <n v="4827"/>
    <n v="1113"/>
    <n v="101"/>
    <x v="3"/>
    <n v="8"/>
    <x v="10"/>
  </r>
  <r>
    <x v="55"/>
    <x v="0"/>
    <n v="2784"/>
    <n v="-3468"/>
    <n v="5641"/>
    <n v="4916"/>
    <n v="1336"/>
    <n v="60"/>
    <x v="4"/>
    <n v="4"/>
    <x v="6"/>
  </r>
  <r>
    <x v="483"/>
    <x v="0"/>
    <n v="2856"/>
    <n v="-3205"/>
    <n v="4421"/>
    <n v="4968"/>
    <n v="1093"/>
    <n v="17"/>
    <x v="2"/>
    <n v="2"/>
    <x v="1"/>
  </r>
  <r>
    <x v="412"/>
    <x v="2"/>
    <n v="11740"/>
    <n v="6900"/>
    <n v="9698"/>
    <n v="4189"/>
    <n v="651"/>
    <n v="37"/>
    <x v="4"/>
    <n v="10"/>
    <x v="3"/>
  </r>
  <r>
    <x v="272"/>
    <x v="1"/>
    <n v="10419"/>
    <n v="5591"/>
    <n v="4923"/>
    <n v="3167"/>
    <n v="1661"/>
    <n v="45"/>
    <x v="2"/>
    <n v="2"/>
    <x v="8"/>
  </r>
  <r>
    <x v="484"/>
    <x v="1"/>
    <n v="11200"/>
    <n v="5054"/>
    <n v="9627"/>
    <n v="4957"/>
    <n v="1189"/>
    <n v="96"/>
    <x v="1"/>
    <n v="10"/>
    <x v="0"/>
  </r>
  <r>
    <x v="485"/>
    <x v="3"/>
    <n v="2386"/>
    <n v="-536"/>
    <n v="4157"/>
    <n v="1816"/>
    <n v="1106"/>
    <n v="116"/>
    <x v="2"/>
    <n v="4"/>
    <x v="5"/>
  </r>
  <r>
    <x v="486"/>
    <x v="1"/>
    <n v="3201"/>
    <n v="-354"/>
    <n v="6277"/>
    <n v="2180"/>
    <n v="1375"/>
    <n v="84"/>
    <x v="0"/>
    <n v="7"/>
    <x v="6"/>
  </r>
  <r>
    <x v="81"/>
    <x v="1"/>
    <n v="8335"/>
    <n v="5756"/>
    <n v="7637"/>
    <n v="1848"/>
    <n v="731"/>
    <n v="113"/>
    <x v="2"/>
    <n v="7"/>
    <x v="9"/>
  </r>
  <r>
    <x v="487"/>
    <x v="1"/>
    <n v="5446"/>
    <n v="3739"/>
    <n v="5755"/>
    <n v="909"/>
    <n v="798"/>
    <n v="33"/>
    <x v="3"/>
    <n v="9"/>
    <x v="8"/>
  </r>
  <r>
    <x v="488"/>
    <x v="3"/>
    <n v="6280"/>
    <n v="924"/>
    <n v="9941"/>
    <n v="4548"/>
    <n v="808"/>
    <n v="16"/>
    <x v="0"/>
    <n v="6"/>
    <x v="4"/>
  </r>
  <r>
    <x v="489"/>
    <x v="0"/>
    <n v="6517"/>
    <n v="2581"/>
    <n v="9838"/>
    <n v="2771"/>
    <n v="1165"/>
    <n v="10"/>
    <x v="1"/>
    <n v="3"/>
    <x v="2"/>
  </r>
  <r>
    <x v="180"/>
    <x v="2"/>
    <n v="5321"/>
    <n v="2743"/>
    <n v="4880"/>
    <n v="1642"/>
    <n v="936"/>
    <n v="102"/>
    <x v="1"/>
    <n v="9"/>
    <x v="0"/>
  </r>
  <r>
    <x v="490"/>
    <x v="0"/>
    <n v="2546"/>
    <n v="-259"/>
    <n v="8886"/>
    <n v="1047"/>
    <n v="1758"/>
    <n v="37"/>
    <x v="1"/>
    <n v="7"/>
    <x v="5"/>
  </r>
  <r>
    <x v="491"/>
    <x v="3"/>
    <n v="11679"/>
    <n v="7086"/>
    <n v="8379"/>
    <n v="3829"/>
    <n v="764"/>
    <n v="20"/>
    <x v="2"/>
    <n v="6"/>
    <x v="5"/>
  </r>
  <r>
    <x v="492"/>
    <x v="3"/>
    <n v="7072"/>
    <n v="2216"/>
    <n v="7260"/>
    <n v="4351"/>
    <n v="505"/>
    <n v="58"/>
    <x v="1"/>
    <n v="7"/>
    <x v="10"/>
  </r>
  <r>
    <x v="493"/>
    <x v="0"/>
    <n v="2774"/>
    <n v="-2225"/>
    <n v="6334"/>
    <n v="4118"/>
    <n v="881"/>
    <n v="59"/>
    <x v="0"/>
    <n v="6"/>
    <x v="9"/>
  </r>
  <r>
    <x v="494"/>
    <x v="0"/>
    <n v="4947"/>
    <n v="2140"/>
    <n v="7632"/>
    <n v="1447"/>
    <n v="1360"/>
    <n v="83"/>
    <x v="1"/>
    <n v="4"/>
    <x v="1"/>
  </r>
  <r>
    <x v="495"/>
    <x v="1"/>
    <n v="6669"/>
    <n v="1876"/>
    <n v="7753"/>
    <n v="4312"/>
    <n v="481"/>
    <n v="55"/>
    <x v="4"/>
    <n v="4"/>
    <x v="2"/>
  </r>
  <r>
    <x v="303"/>
    <x v="3"/>
    <n v="4442"/>
    <n v="1671"/>
    <n v="6334"/>
    <n v="1490"/>
    <n v="1281"/>
    <n v="19"/>
    <x v="3"/>
    <n v="1"/>
    <x v="3"/>
  </r>
  <r>
    <x v="496"/>
    <x v="0"/>
    <n v="7805"/>
    <n v="4112"/>
    <n v="5460"/>
    <n v="2128"/>
    <n v="1565"/>
    <n v="40"/>
    <x v="3"/>
    <n v="1"/>
    <x v="8"/>
  </r>
  <r>
    <x v="456"/>
    <x v="3"/>
    <n v="3598"/>
    <n v="-2284"/>
    <n v="6883"/>
    <n v="4365"/>
    <n v="1517"/>
    <n v="120"/>
    <x v="2"/>
    <n v="2"/>
    <x v="5"/>
  </r>
  <r>
    <x v="472"/>
    <x v="3"/>
    <n v="4845"/>
    <n v="964"/>
    <n v="9259"/>
    <n v="3094"/>
    <n v="787"/>
    <n v="23"/>
    <x v="4"/>
    <n v="8"/>
    <x v="10"/>
  </r>
  <r>
    <x v="497"/>
    <x v="3"/>
    <n v="11103"/>
    <n v="5778"/>
    <n v="9234"/>
    <n v="4310"/>
    <n v="1015"/>
    <n v="49"/>
    <x v="0"/>
    <n v="4"/>
    <x v="9"/>
  </r>
  <r>
    <x v="498"/>
    <x v="0"/>
    <n v="11489"/>
    <n v="6714"/>
    <n v="9727"/>
    <n v="3281"/>
    <n v="1494"/>
    <n v="43"/>
    <x v="1"/>
    <n v="7"/>
    <x v="1"/>
  </r>
  <r>
    <x v="298"/>
    <x v="1"/>
    <n v="8218"/>
    <n v="3738"/>
    <n v="8267"/>
    <n v="4145"/>
    <n v="335"/>
    <n v="24"/>
    <x v="3"/>
    <n v="1"/>
    <x v="9"/>
  </r>
  <r>
    <x v="499"/>
    <x v="1"/>
    <n v="7895"/>
    <n v="4544"/>
    <n v="6866"/>
    <n v="1639"/>
    <n v="1712"/>
    <n v="30"/>
    <x v="3"/>
    <n v="5"/>
    <x v="4"/>
  </r>
  <r>
    <x v="500"/>
    <x v="2"/>
    <n v="7740"/>
    <n v="3361"/>
    <n v="5638"/>
    <n v="3869"/>
    <n v="510"/>
    <n v="109"/>
    <x v="1"/>
    <n v="8"/>
    <x v="3"/>
  </r>
  <r>
    <x v="501"/>
    <x v="2"/>
    <n v="5372"/>
    <n v="-355"/>
    <n v="7311"/>
    <n v="4765"/>
    <n v="962"/>
    <n v="23"/>
    <x v="0"/>
    <n v="5"/>
    <x v="7"/>
  </r>
  <r>
    <x v="134"/>
    <x v="0"/>
    <n v="11329"/>
    <n v="7300"/>
    <n v="4909"/>
    <n v="3275"/>
    <n v="754"/>
    <n v="45"/>
    <x v="3"/>
    <n v="9"/>
    <x v="2"/>
  </r>
  <r>
    <x v="502"/>
    <x v="1"/>
    <n v="6303"/>
    <n v="2259"/>
    <n v="7616"/>
    <n v="3797"/>
    <n v="247"/>
    <n v="111"/>
    <x v="0"/>
    <n v="1"/>
    <x v="0"/>
  </r>
  <r>
    <x v="503"/>
    <x v="0"/>
    <n v="11671"/>
    <n v="6287"/>
    <n v="7793"/>
    <n v="3546"/>
    <n v="1838"/>
    <n v="24"/>
    <x v="3"/>
    <n v="7"/>
    <x v="8"/>
  </r>
  <r>
    <x v="504"/>
    <x v="3"/>
    <n v="7262"/>
    <n v="4354"/>
    <n v="8775"/>
    <n v="2377"/>
    <n v="531"/>
    <n v="36"/>
    <x v="4"/>
    <n v="4"/>
    <x v="8"/>
  </r>
  <r>
    <x v="505"/>
    <x v="3"/>
    <n v="11323"/>
    <n v="8350"/>
    <n v="4785"/>
    <n v="2502"/>
    <n v="471"/>
    <n v="64"/>
    <x v="3"/>
    <n v="10"/>
    <x v="8"/>
  </r>
  <r>
    <x v="506"/>
    <x v="2"/>
    <n v="6829"/>
    <n v="2233"/>
    <n v="4438"/>
    <n v="2644"/>
    <n v="1952"/>
    <n v="91"/>
    <x v="4"/>
    <n v="6"/>
    <x v="6"/>
  </r>
  <r>
    <x v="507"/>
    <x v="3"/>
    <n v="9311"/>
    <n v="6455"/>
    <n v="4432"/>
    <n v="1940"/>
    <n v="916"/>
    <n v="114"/>
    <x v="4"/>
    <n v="4"/>
    <x v="7"/>
  </r>
  <r>
    <x v="500"/>
    <x v="0"/>
    <n v="3256"/>
    <n v="-668"/>
    <n v="6474"/>
    <n v="2700"/>
    <n v="1224"/>
    <n v="104"/>
    <x v="1"/>
    <n v="9"/>
    <x v="3"/>
  </r>
  <r>
    <x v="508"/>
    <x v="1"/>
    <n v="3056"/>
    <n v="-1394"/>
    <n v="7252"/>
    <n v="4186"/>
    <n v="264"/>
    <n v="12"/>
    <x v="1"/>
    <n v="10"/>
    <x v="2"/>
  </r>
  <r>
    <x v="509"/>
    <x v="3"/>
    <n v="9471"/>
    <n v="6508"/>
    <n v="5289"/>
    <n v="2153"/>
    <n v="810"/>
    <n v="17"/>
    <x v="4"/>
    <n v="7"/>
    <x v="11"/>
  </r>
  <r>
    <x v="510"/>
    <x v="1"/>
    <n v="5554"/>
    <n v="-660"/>
    <n v="7606"/>
    <n v="4661"/>
    <n v="1553"/>
    <n v="51"/>
    <x v="4"/>
    <n v="3"/>
    <x v="3"/>
  </r>
  <r>
    <x v="300"/>
    <x v="3"/>
    <n v="8258"/>
    <n v="4328"/>
    <n v="6504"/>
    <n v="3717"/>
    <n v="213"/>
    <n v="49"/>
    <x v="2"/>
    <n v="7"/>
    <x v="6"/>
  </r>
  <r>
    <x v="511"/>
    <x v="2"/>
    <n v="6019"/>
    <n v="3897"/>
    <n v="9315"/>
    <n v="1357"/>
    <n v="765"/>
    <n v="59"/>
    <x v="3"/>
    <n v="7"/>
    <x v="2"/>
  </r>
  <r>
    <x v="512"/>
    <x v="0"/>
    <n v="8734"/>
    <n v="4719"/>
    <n v="8142"/>
    <n v="2556"/>
    <n v="1459"/>
    <n v="32"/>
    <x v="2"/>
    <n v="5"/>
    <x v="6"/>
  </r>
  <r>
    <x v="173"/>
    <x v="2"/>
    <n v="4245"/>
    <n v="-1072"/>
    <n v="4380"/>
    <n v="4441"/>
    <n v="876"/>
    <n v="79"/>
    <x v="0"/>
    <n v="3"/>
    <x v="9"/>
  </r>
  <r>
    <x v="513"/>
    <x v="2"/>
    <n v="7630"/>
    <n v="3576"/>
    <n v="6737"/>
    <n v="3839"/>
    <n v="215"/>
    <n v="74"/>
    <x v="0"/>
    <n v="6"/>
    <x v="10"/>
  </r>
  <r>
    <x v="514"/>
    <x v="3"/>
    <n v="7348"/>
    <n v="5336"/>
    <n v="8632"/>
    <n v="1209"/>
    <n v="803"/>
    <n v="72"/>
    <x v="2"/>
    <n v="2"/>
    <x v="2"/>
  </r>
  <r>
    <x v="515"/>
    <x v="1"/>
    <n v="3879"/>
    <n v="-612"/>
    <n v="6371"/>
    <n v="2641"/>
    <n v="1850"/>
    <n v="56"/>
    <x v="4"/>
    <n v="6"/>
    <x v="7"/>
  </r>
  <r>
    <x v="516"/>
    <x v="2"/>
    <n v="10920"/>
    <n v="4678"/>
    <n v="5660"/>
    <n v="4293"/>
    <n v="1949"/>
    <n v="65"/>
    <x v="3"/>
    <n v="4"/>
    <x v="2"/>
  </r>
  <r>
    <x v="517"/>
    <x v="2"/>
    <n v="8567"/>
    <n v="6024"/>
    <n v="8300"/>
    <n v="1182"/>
    <n v="1361"/>
    <n v="52"/>
    <x v="3"/>
    <n v="2"/>
    <x v="1"/>
  </r>
  <r>
    <x v="518"/>
    <x v="0"/>
    <n v="2459"/>
    <n v="-3132"/>
    <n v="6610"/>
    <n v="4504"/>
    <n v="1087"/>
    <n v="12"/>
    <x v="3"/>
    <n v="10"/>
    <x v="9"/>
  </r>
  <r>
    <x v="233"/>
    <x v="2"/>
    <n v="2181"/>
    <n v="-781"/>
    <n v="4135"/>
    <n v="1470"/>
    <n v="1492"/>
    <n v="61"/>
    <x v="3"/>
    <n v="9"/>
    <x v="8"/>
  </r>
  <r>
    <x v="519"/>
    <x v="1"/>
    <n v="11029"/>
    <n v="5101"/>
    <n v="4423"/>
    <n v="4834"/>
    <n v="1094"/>
    <n v="67"/>
    <x v="3"/>
    <n v="5"/>
    <x v="0"/>
  </r>
  <r>
    <x v="520"/>
    <x v="3"/>
    <n v="2972"/>
    <n v="151"/>
    <n v="6046"/>
    <n v="1262"/>
    <n v="1559"/>
    <n v="109"/>
    <x v="4"/>
    <n v="6"/>
    <x v="10"/>
  </r>
  <r>
    <x v="521"/>
    <x v="2"/>
    <n v="5072"/>
    <n v="-308"/>
    <n v="7878"/>
    <n v="4051"/>
    <n v="1329"/>
    <n v="12"/>
    <x v="2"/>
    <n v="8"/>
    <x v="1"/>
  </r>
  <r>
    <x v="393"/>
    <x v="1"/>
    <n v="10432"/>
    <n v="5359"/>
    <n v="6241"/>
    <n v="4161"/>
    <n v="912"/>
    <n v="51"/>
    <x v="2"/>
    <n v="3"/>
    <x v="7"/>
  </r>
  <r>
    <x v="202"/>
    <x v="0"/>
    <n v="3892"/>
    <n v="756"/>
    <n v="7834"/>
    <n v="2148"/>
    <n v="988"/>
    <n v="66"/>
    <x v="1"/>
    <n v="6"/>
    <x v="0"/>
  </r>
  <r>
    <x v="12"/>
    <x v="1"/>
    <n v="3991"/>
    <n v="-501"/>
    <n v="9832"/>
    <n v="3305"/>
    <n v="1187"/>
    <n v="47"/>
    <x v="0"/>
    <n v="3"/>
    <x v="0"/>
  </r>
  <r>
    <x v="522"/>
    <x v="2"/>
    <n v="3936"/>
    <n v="273"/>
    <n v="7355"/>
    <n v="2933"/>
    <n v="730"/>
    <n v="103"/>
    <x v="4"/>
    <n v="5"/>
    <x v="0"/>
  </r>
  <r>
    <x v="389"/>
    <x v="1"/>
    <n v="11092"/>
    <n v="5345"/>
    <n v="9706"/>
    <n v="4608"/>
    <n v="1139"/>
    <n v="25"/>
    <x v="2"/>
    <n v="5"/>
    <x v="10"/>
  </r>
  <r>
    <x v="11"/>
    <x v="0"/>
    <n v="7375"/>
    <n v="3116"/>
    <n v="4780"/>
    <n v="3205"/>
    <n v="1054"/>
    <n v="98"/>
    <x v="3"/>
    <n v="1"/>
    <x v="8"/>
  </r>
  <r>
    <x v="1"/>
    <x v="1"/>
    <n v="10210"/>
    <n v="6748"/>
    <n v="8736"/>
    <n v="2620"/>
    <n v="842"/>
    <n v="38"/>
    <x v="1"/>
    <n v="5"/>
    <x v="1"/>
  </r>
  <r>
    <x v="523"/>
    <x v="3"/>
    <n v="9890"/>
    <n v="6102"/>
    <n v="4024"/>
    <n v="2049"/>
    <n v="1739"/>
    <n v="112"/>
    <x v="1"/>
    <n v="1"/>
    <x v="9"/>
  </r>
  <r>
    <x v="524"/>
    <x v="3"/>
    <n v="9398"/>
    <n v="3817"/>
    <n v="5790"/>
    <n v="4760"/>
    <n v="821"/>
    <n v="69"/>
    <x v="1"/>
    <n v="1"/>
    <x v="0"/>
  </r>
  <r>
    <x v="472"/>
    <x v="0"/>
    <n v="7231"/>
    <n v="3236"/>
    <n v="7822"/>
    <n v="2960"/>
    <n v="1035"/>
    <n v="80"/>
    <x v="0"/>
    <n v="8"/>
    <x v="10"/>
  </r>
  <r>
    <x v="525"/>
    <x v="0"/>
    <n v="9460"/>
    <n v="6473"/>
    <n v="6568"/>
    <n v="2598"/>
    <n v="389"/>
    <n v="52"/>
    <x v="1"/>
    <n v="9"/>
    <x v="4"/>
  </r>
  <r>
    <x v="526"/>
    <x v="2"/>
    <n v="8802"/>
    <n v="3250"/>
    <n v="5905"/>
    <n v="4155"/>
    <n v="1397"/>
    <n v="110"/>
    <x v="1"/>
    <n v="2"/>
    <x v="10"/>
  </r>
  <r>
    <x v="527"/>
    <x v="0"/>
    <n v="8527"/>
    <n v="3266"/>
    <n v="5561"/>
    <n v="3984"/>
    <n v="1277"/>
    <n v="94"/>
    <x v="2"/>
    <n v="1"/>
    <x v="1"/>
  </r>
  <r>
    <x v="522"/>
    <x v="1"/>
    <n v="10407"/>
    <n v="5438"/>
    <n v="6566"/>
    <n v="3548"/>
    <n v="1421"/>
    <n v="13"/>
    <x v="4"/>
    <n v="4"/>
    <x v="0"/>
  </r>
  <r>
    <x v="122"/>
    <x v="3"/>
    <n v="7444"/>
    <n v="4403"/>
    <n v="8375"/>
    <n v="2331"/>
    <n v="710"/>
    <n v="12"/>
    <x v="2"/>
    <n v="10"/>
    <x v="10"/>
  </r>
  <r>
    <x v="528"/>
    <x v="2"/>
    <n v="10228"/>
    <n v="5929"/>
    <n v="7984"/>
    <n v="3263"/>
    <n v="1036"/>
    <n v="46"/>
    <x v="2"/>
    <n v="6"/>
    <x v="0"/>
  </r>
  <r>
    <x v="529"/>
    <x v="3"/>
    <n v="5623"/>
    <n v="1734"/>
    <n v="8035"/>
    <n v="2064"/>
    <n v="1825"/>
    <n v="42"/>
    <x v="4"/>
    <n v="4"/>
    <x v="4"/>
  </r>
  <r>
    <x v="31"/>
    <x v="0"/>
    <n v="9641"/>
    <n v="6484"/>
    <n v="5447"/>
    <n v="2555"/>
    <n v="602"/>
    <n v="47"/>
    <x v="1"/>
    <n v="7"/>
    <x v="6"/>
  </r>
  <r>
    <x v="285"/>
    <x v="2"/>
    <n v="8767"/>
    <n v="2399"/>
    <n v="5896"/>
    <n v="4705"/>
    <n v="1663"/>
    <n v="35"/>
    <x v="3"/>
    <n v="7"/>
    <x v="9"/>
  </r>
  <r>
    <x v="530"/>
    <x v="0"/>
    <n v="8093"/>
    <n v="5201"/>
    <n v="6534"/>
    <n v="2625"/>
    <n v="267"/>
    <n v="49"/>
    <x v="0"/>
    <n v="6"/>
    <x v="2"/>
  </r>
  <r>
    <x v="531"/>
    <x v="1"/>
    <n v="5253"/>
    <n v="621"/>
    <n v="9360"/>
    <n v="4360"/>
    <n v="272"/>
    <n v="81"/>
    <x v="4"/>
    <n v="9"/>
    <x v="1"/>
  </r>
  <r>
    <x v="532"/>
    <x v="1"/>
    <n v="10319"/>
    <n v="7111"/>
    <n v="4528"/>
    <n v="2901"/>
    <n v="307"/>
    <n v="42"/>
    <x v="2"/>
    <n v="7"/>
    <x v="8"/>
  </r>
  <r>
    <x v="522"/>
    <x v="0"/>
    <n v="8443"/>
    <n v="5040"/>
    <n v="8971"/>
    <n v="2805"/>
    <n v="598"/>
    <n v="52"/>
    <x v="4"/>
    <n v="4"/>
    <x v="0"/>
  </r>
  <r>
    <x v="533"/>
    <x v="2"/>
    <n v="9519"/>
    <n v="3520"/>
    <n v="7361"/>
    <n v="4268"/>
    <n v="1731"/>
    <n v="95"/>
    <x v="1"/>
    <n v="4"/>
    <x v="2"/>
  </r>
  <r>
    <x v="534"/>
    <x v="2"/>
    <n v="10315"/>
    <n v="7644"/>
    <n v="9623"/>
    <n v="921"/>
    <n v="1750"/>
    <n v="119"/>
    <x v="2"/>
    <n v="3"/>
    <x v="0"/>
  </r>
  <r>
    <x v="5"/>
    <x v="0"/>
    <n v="5622"/>
    <n v="4061"/>
    <n v="9131"/>
    <n v="1298"/>
    <n v="263"/>
    <n v="69"/>
    <x v="1"/>
    <n v="9"/>
    <x v="4"/>
  </r>
  <r>
    <x v="535"/>
    <x v="2"/>
    <n v="10649"/>
    <n v="7440"/>
    <n v="4039"/>
    <n v="2874"/>
    <n v="335"/>
    <n v="105"/>
    <x v="3"/>
    <n v="9"/>
    <x v="4"/>
  </r>
  <r>
    <x v="536"/>
    <x v="3"/>
    <n v="7227"/>
    <n v="957"/>
    <n v="9582"/>
    <n v="4836"/>
    <n v="1434"/>
    <n v="40"/>
    <x v="3"/>
    <n v="10"/>
    <x v="8"/>
  </r>
  <r>
    <x v="537"/>
    <x v="3"/>
    <n v="3601"/>
    <n v="-545"/>
    <n v="9387"/>
    <n v="3008"/>
    <n v="1138"/>
    <n v="43"/>
    <x v="1"/>
    <n v="5"/>
    <x v="9"/>
  </r>
  <r>
    <x v="538"/>
    <x v="0"/>
    <n v="2994"/>
    <n v="-2006"/>
    <n v="7676"/>
    <n v="3327"/>
    <n v="1673"/>
    <n v="86"/>
    <x v="0"/>
    <n v="7"/>
    <x v="1"/>
  </r>
  <r>
    <x v="539"/>
    <x v="1"/>
    <n v="3168"/>
    <n v="513"/>
    <n v="4423"/>
    <n v="846"/>
    <n v="1809"/>
    <n v="113"/>
    <x v="1"/>
    <n v="1"/>
    <x v="8"/>
  </r>
  <r>
    <x v="540"/>
    <x v="1"/>
    <n v="11638"/>
    <n v="8153"/>
    <n v="5122"/>
    <n v="1880"/>
    <n v="1605"/>
    <n v="59"/>
    <x v="0"/>
    <n v="2"/>
    <x v="1"/>
  </r>
  <r>
    <x v="541"/>
    <x v="3"/>
    <n v="10004"/>
    <n v="8336"/>
    <n v="4746"/>
    <n v="1231"/>
    <n v="437"/>
    <n v="44"/>
    <x v="2"/>
    <n v="3"/>
    <x v="5"/>
  </r>
  <r>
    <x v="542"/>
    <x v="0"/>
    <n v="11388"/>
    <n v="10273"/>
    <n v="9265"/>
    <n v="847"/>
    <n v="268"/>
    <n v="28"/>
    <x v="0"/>
    <n v="5"/>
    <x v="5"/>
  </r>
  <r>
    <x v="543"/>
    <x v="2"/>
    <n v="9097"/>
    <n v="6798"/>
    <n v="6493"/>
    <n v="1987"/>
    <n v="312"/>
    <n v="105"/>
    <x v="0"/>
    <n v="1"/>
    <x v="8"/>
  </r>
  <r>
    <x v="544"/>
    <x v="1"/>
    <n v="2180"/>
    <n v="-2574"/>
    <n v="6902"/>
    <n v="3081"/>
    <n v="1673"/>
    <n v="58"/>
    <x v="0"/>
    <n v="7"/>
    <x v="11"/>
  </r>
  <r>
    <x v="370"/>
    <x v="0"/>
    <n v="11568"/>
    <n v="8375"/>
    <n v="5692"/>
    <n v="2850"/>
    <n v="343"/>
    <n v="32"/>
    <x v="2"/>
    <n v="9"/>
    <x v="5"/>
  </r>
  <r>
    <x v="238"/>
    <x v="0"/>
    <n v="7912"/>
    <n v="3275"/>
    <n v="5340"/>
    <n v="2899"/>
    <n v="1738"/>
    <n v="105"/>
    <x v="1"/>
    <n v="9"/>
    <x v="6"/>
  </r>
  <r>
    <x v="545"/>
    <x v="3"/>
    <n v="2143"/>
    <n v="218"/>
    <n v="6865"/>
    <n v="950"/>
    <n v="975"/>
    <n v="99"/>
    <x v="3"/>
    <n v="2"/>
    <x v="1"/>
  </r>
  <r>
    <x v="546"/>
    <x v="2"/>
    <n v="8434"/>
    <n v="5737"/>
    <n v="5517"/>
    <n v="2357"/>
    <n v="340"/>
    <n v="83"/>
    <x v="2"/>
    <n v="8"/>
    <x v="6"/>
  </r>
  <r>
    <x v="547"/>
    <x v="1"/>
    <n v="9985"/>
    <n v="7464"/>
    <n v="5248"/>
    <n v="969"/>
    <n v="1552"/>
    <n v="85"/>
    <x v="1"/>
    <n v="9"/>
    <x v="11"/>
  </r>
  <r>
    <x v="128"/>
    <x v="2"/>
    <n v="8868"/>
    <n v="6001"/>
    <n v="4228"/>
    <n v="2420"/>
    <n v="447"/>
    <n v="45"/>
    <x v="0"/>
    <n v="1"/>
    <x v="4"/>
  </r>
  <r>
    <x v="548"/>
    <x v="0"/>
    <n v="5394"/>
    <n v="-626"/>
    <n v="8014"/>
    <n v="4037"/>
    <n v="1983"/>
    <n v="116"/>
    <x v="2"/>
    <n v="7"/>
    <x v="9"/>
  </r>
  <r>
    <x v="549"/>
    <x v="0"/>
    <n v="4558"/>
    <n v="-1021"/>
    <n v="6460"/>
    <n v="3768"/>
    <n v="1811"/>
    <n v="63"/>
    <x v="3"/>
    <n v="5"/>
    <x v="11"/>
  </r>
  <r>
    <x v="550"/>
    <x v="0"/>
    <n v="8569"/>
    <n v="5704"/>
    <n v="9652"/>
    <n v="1115"/>
    <n v="1750"/>
    <n v="98"/>
    <x v="3"/>
    <n v="6"/>
    <x v="3"/>
  </r>
  <r>
    <x v="254"/>
    <x v="3"/>
    <n v="3999"/>
    <n v="928"/>
    <n v="5375"/>
    <n v="1770"/>
    <n v="1301"/>
    <n v="60"/>
    <x v="1"/>
    <n v="6"/>
    <x v="6"/>
  </r>
  <r>
    <x v="551"/>
    <x v="1"/>
    <n v="10225"/>
    <n v="7935"/>
    <n v="9257"/>
    <n v="1985"/>
    <n v="305"/>
    <n v="22"/>
    <x v="3"/>
    <n v="6"/>
    <x v="2"/>
  </r>
  <r>
    <x v="546"/>
    <x v="3"/>
    <n v="4436"/>
    <n v="-1091"/>
    <n v="5488"/>
    <n v="4699"/>
    <n v="828"/>
    <n v="111"/>
    <x v="3"/>
    <n v="9"/>
    <x v="6"/>
  </r>
  <r>
    <x v="552"/>
    <x v="0"/>
    <n v="3219"/>
    <n v="874"/>
    <n v="4443"/>
    <n v="1383"/>
    <n v="962"/>
    <n v="46"/>
    <x v="4"/>
    <n v="6"/>
    <x v="3"/>
  </r>
  <r>
    <x v="51"/>
    <x v="2"/>
    <n v="8325"/>
    <n v="5636"/>
    <n v="5234"/>
    <n v="1948"/>
    <n v="741"/>
    <n v="93"/>
    <x v="4"/>
    <n v="10"/>
    <x v="1"/>
  </r>
  <r>
    <x v="430"/>
    <x v="2"/>
    <n v="2395"/>
    <n v="-1025"/>
    <n v="9458"/>
    <n v="2223"/>
    <n v="1197"/>
    <n v="79"/>
    <x v="0"/>
    <n v="7"/>
    <x v="1"/>
  </r>
  <r>
    <x v="553"/>
    <x v="1"/>
    <n v="10143"/>
    <n v="3583"/>
    <n v="9137"/>
    <n v="4579"/>
    <n v="1981"/>
    <n v="68"/>
    <x v="4"/>
    <n v="7"/>
    <x v="0"/>
  </r>
  <r>
    <x v="119"/>
    <x v="0"/>
    <n v="6281"/>
    <n v="3883"/>
    <n v="9486"/>
    <n v="2198"/>
    <n v="200"/>
    <n v="16"/>
    <x v="1"/>
    <n v="3"/>
    <x v="4"/>
  </r>
  <r>
    <x v="554"/>
    <x v="1"/>
    <n v="7473"/>
    <n v="4260"/>
    <n v="8541"/>
    <n v="2111"/>
    <n v="1102"/>
    <n v="51"/>
    <x v="3"/>
    <n v="6"/>
    <x v="7"/>
  </r>
  <r>
    <x v="555"/>
    <x v="2"/>
    <n v="3737"/>
    <n v="-2363"/>
    <n v="8883"/>
    <n v="4670"/>
    <n v="1430"/>
    <n v="45"/>
    <x v="0"/>
    <n v="1"/>
    <x v="10"/>
  </r>
  <r>
    <x v="556"/>
    <x v="1"/>
    <n v="11743"/>
    <n v="7821"/>
    <n v="9761"/>
    <n v="3688"/>
    <n v="234"/>
    <n v="90"/>
    <x v="4"/>
    <n v="10"/>
    <x v="2"/>
  </r>
  <r>
    <x v="557"/>
    <x v="2"/>
    <n v="7688"/>
    <n v="2912"/>
    <n v="6400"/>
    <n v="4003"/>
    <n v="773"/>
    <n v="115"/>
    <x v="1"/>
    <n v="2"/>
    <x v="0"/>
  </r>
  <r>
    <x v="558"/>
    <x v="3"/>
    <n v="4035"/>
    <n v="-584"/>
    <n v="6684"/>
    <n v="3980"/>
    <n v="639"/>
    <n v="90"/>
    <x v="1"/>
    <n v="9"/>
    <x v="3"/>
  </r>
  <r>
    <x v="559"/>
    <x v="2"/>
    <n v="2328"/>
    <n v="-1878"/>
    <n v="6916"/>
    <n v="3765"/>
    <n v="441"/>
    <n v="11"/>
    <x v="1"/>
    <n v="2"/>
    <x v="2"/>
  </r>
  <r>
    <x v="545"/>
    <x v="3"/>
    <n v="5750"/>
    <n v="2112"/>
    <n v="5854"/>
    <n v="2475"/>
    <n v="1163"/>
    <n v="52"/>
    <x v="4"/>
    <n v="9"/>
    <x v="1"/>
  </r>
  <r>
    <x v="76"/>
    <x v="3"/>
    <n v="5911"/>
    <n v="2308"/>
    <n v="7555"/>
    <n v="2166"/>
    <n v="1437"/>
    <n v="113"/>
    <x v="2"/>
    <n v="4"/>
    <x v="3"/>
  </r>
  <r>
    <x v="560"/>
    <x v="1"/>
    <n v="8386"/>
    <n v="3951"/>
    <n v="6736"/>
    <n v="3240"/>
    <n v="1195"/>
    <n v="81"/>
    <x v="2"/>
    <n v="3"/>
    <x v="0"/>
  </r>
  <r>
    <x v="272"/>
    <x v="0"/>
    <n v="4069"/>
    <n v="1502"/>
    <n v="6133"/>
    <n v="1702"/>
    <n v="865"/>
    <n v="33"/>
    <x v="2"/>
    <n v="10"/>
    <x v="8"/>
  </r>
  <r>
    <x v="561"/>
    <x v="0"/>
    <n v="10187"/>
    <n v="5694"/>
    <n v="8852"/>
    <n v="4082"/>
    <n v="411"/>
    <n v="41"/>
    <x v="0"/>
    <n v="4"/>
    <x v="2"/>
  </r>
  <r>
    <x v="562"/>
    <x v="2"/>
    <n v="4877"/>
    <n v="-163"/>
    <n v="9723"/>
    <n v="3536"/>
    <n v="1504"/>
    <n v="16"/>
    <x v="0"/>
    <n v="5"/>
    <x v="5"/>
  </r>
  <r>
    <x v="563"/>
    <x v="2"/>
    <n v="3623"/>
    <n v="-862"/>
    <n v="9509"/>
    <n v="3587"/>
    <n v="898"/>
    <n v="100"/>
    <x v="2"/>
    <n v="10"/>
    <x v="9"/>
  </r>
  <r>
    <x v="564"/>
    <x v="0"/>
    <n v="5058"/>
    <n v="399"/>
    <n v="7768"/>
    <n v="3035"/>
    <n v="1624"/>
    <n v="27"/>
    <x v="2"/>
    <n v="6"/>
    <x v="2"/>
  </r>
  <r>
    <x v="507"/>
    <x v="1"/>
    <n v="4573"/>
    <n v="-761"/>
    <n v="8145"/>
    <n v="3584"/>
    <n v="1750"/>
    <n v="59"/>
    <x v="0"/>
    <n v="8"/>
    <x v="7"/>
  </r>
  <r>
    <x v="565"/>
    <x v="1"/>
    <n v="8042"/>
    <n v="6282"/>
    <n v="4014"/>
    <n v="1364"/>
    <n v="396"/>
    <n v="61"/>
    <x v="0"/>
    <n v="8"/>
    <x v="2"/>
  </r>
  <r>
    <x v="566"/>
    <x v="1"/>
    <n v="6695"/>
    <n v="5275"/>
    <n v="4955"/>
    <n v="1003"/>
    <n v="417"/>
    <n v="35"/>
    <x v="1"/>
    <n v="6"/>
    <x v="7"/>
  </r>
  <r>
    <x v="477"/>
    <x v="1"/>
    <n v="2880"/>
    <n v="-2576"/>
    <n v="7674"/>
    <n v="4106"/>
    <n v="1350"/>
    <n v="120"/>
    <x v="1"/>
    <n v="1"/>
    <x v="3"/>
  </r>
  <r>
    <x v="563"/>
    <x v="0"/>
    <n v="10092"/>
    <n v="4559"/>
    <n v="7602"/>
    <n v="3718"/>
    <n v="1815"/>
    <n v="92"/>
    <x v="4"/>
    <n v="2"/>
    <x v="9"/>
  </r>
  <r>
    <x v="446"/>
    <x v="1"/>
    <n v="5540"/>
    <n v="1236"/>
    <n v="7492"/>
    <n v="3952"/>
    <n v="352"/>
    <n v="110"/>
    <x v="4"/>
    <n v="6"/>
    <x v="2"/>
  </r>
  <r>
    <x v="567"/>
    <x v="3"/>
    <n v="9944"/>
    <n v="6466"/>
    <n v="4801"/>
    <n v="2806"/>
    <n v="672"/>
    <n v="21"/>
    <x v="3"/>
    <n v="2"/>
    <x v="3"/>
  </r>
  <r>
    <x v="568"/>
    <x v="3"/>
    <n v="6198"/>
    <n v="399"/>
    <n v="9916"/>
    <n v="4526"/>
    <n v="1273"/>
    <n v="87"/>
    <x v="2"/>
    <n v="3"/>
    <x v="9"/>
  </r>
  <r>
    <x v="176"/>
    <x v="3"/>
    <n v="10004"/>
    <n v="5502"/>
    <n v="7995"/>
    <n v="3504"/>
    <n v="998"/>
    <n v="47"/>
    <x v="4"/>
    <n v="3"/>
    <x v="11"/>
  </r>
  <r>
    <x v="569"/>
    <x v="0"/>
    <n v="5857"/>
    <n v="1177"/>
    <n v="7808"/>
    <n v="3992"/>
    <n v="688"/>
    <n v="14"/>
    <x v="3"/>
    <n v="10"/>
    <x v="4"/>
  </r>
  <r>
    <x v="570"/>
    <x v="2"/>
    <n v="5419"/>
    <n v="-699"/>
    <n v="8765"/>
    <n v="4293"/>
    <n v="1825"/>
    <n v="82"/>
    <x v="0"/>
    <n v="9"/>
    <x v="0"/>
  </r>
  <r>
    <x v="22"/>
    <x v="3"/>
    <n v="9038"/>
    <n v="5020"/>
    <n v="6274"/>
    <n v="3269"/>
    <n v="749"/>
    <n v="39"/>
    <x v="1"/>
    <n v="10"/>
    <x v="5"/>
  </r>
  <r>
    <x v="196"/>
    <x v="2"/>
    <n v="2206"/>
    <n v="-413"/>
    <n v="5240"/>
    <n v="1133"/>
    <n v="1486"/>
    <n v="100"/>
    <x v="0"/>
    <n v="2"/>
    <x v="4"/>
  </r>
  <r>
    <x v="571"/>
    <x v="0"/>
    <n v="3231"/>
    <n v="-2840"/>
    <n v="5566"/>
    <n v="4731"/>
    <n v="1340"/>
    <n v="66"/>
    <x v="1"/>
    <n v="3"/>
    <x v="8"/>
  </r>
  <r>
    <x v="572"/>
    <x v="0"/>
    <n v="11944"/>
    <n v="7133"/>
    <n v="5936"/>
    <n v="4283"/>
    <n v="528"/>
    <n v="116"/>
    <x v="3"/>
    <n v="9"/>
    <x v="3"/>
  </r>
  <r>
    <x v="121"/>
    <x v="2"/>
    <n v="11288"/>
    <n v="8528"/>
    <n v="7789"/>
    <n v="1956"/>
    <n v="804"/>
    <n v="46"/>
    <x v="0"/>
    <n v="6"/>
    <x v="6"/>
  </r>
  <r>
    <x v="573"/>
    <x v="2"/>
    <n v="9457"/>
    <n v="4564"/>
    <n v="9259"/>
    <n v="3134"/>
    <n v="1759"/>
    <n v="13"/>
    <x v="0"/>
    <n v="3"/>
    <x v="11"/>
  </r>
  <r>
    <x v="313"/>
    <x v="1"/>
    <n v="4617"/>
    <n v="118"/>
    <n v="6291"/>
    <n v="3376"/>
    <n v="1123"/>
    <n v="20"/>
    <x v="3"/>
    <n v="3"/>
    <x v="9"/>
  </r>
  <r>
    <x v="574"/>
    <x v="3"/>
    <n v="3653"/>
    <n v="-904"/>
    <n v="4884"/>
    <n v="4357"/>
    <n v="200"/>
    <n v="119"/>
    <x v="2"/>
    <n v="10"/>
    <x v="9"/>
  </r>
  <r>
    <x v="575"/>
    <x v="0"/>
    <n v="3339"/>
    <n v="-891"/>
    <n v="4093"/>
    <n v="4024"/>
    <n v="206"/>
    <n v="63"/>
    <x v="2"/>
    <n v="7"/>
    <x v="11"/>
  </r>
  <r>
    <x v="117"/>
    <x v="1"/>
    <n v="11560"/>
    <n v="5827"/>
    <n v="6883"/>
    <n v="4493"/>
    <n v="1240"/>
    <n v="109"/>
    <x v="4"/>
    <n v="8"/>
    <x v="1"/>
  </r>
  <r>
    <x v="432"/>
    <x v="3"/>
    <n v="2021"/>
    <n v="-2317"/>
    <n v="8014"/>
    <n v="2462"/>
    <n v="1876"/>
    <n v="35"/>
    <x v="1"/>
    <n v="10"/>
    <x v="10"/>
  </r>
  <r>
    <x v="576"/>
    <x v="3"/>
    <n v="2806"/>
    <n v="-677"/>
    <n v="8977"/>
    <n v="2085"/>
    <n v="1398"/>
    <n v="82"/>
    <x v="3"/>
    <n v="1"/>
    <x v="2"/>
  </r>
  <r>
    <x v="211"/>
    <x v="0"/>
    <n v="10871"/>
    <n v="6998"/>
    <n v="5297"/>
    <n v="2026"/>
    <n v="1847"/>
    <n v="95"/>
    <x v="1"/>
    <n v="7"/>
    <x v="4"/>
  </r>
  <r>
    <x v="577"/>
    <x v="1"/>
    <n v="3149"/>
    <n v="-994"/>
    <n v="9408"/>
    <n v="2766"/>
    <n v="1377"/>
    <n v="96"/>
    <x v="4"/>
    <n v="1"/>
    <x v="7"/>
  </r>
  <r>
    <x v="346"/>
    <x v="0"/>
    <n v="11897"/>
    <n v="6525"/>
    <n v="7909"/>
    <n v="4434"/>
    <n v="938"/>
    <n v="36"/>
    <x v="2"/>
    <n v="4"/>
    <x v="7"/>
  </r>
  <r>
    <x v="130"/>
    <x v="1"/>
    <n v="4167"/>
    <n v="-109"/>
    <n v="6003"/>
    <n v="2800"/>
    <n v="1476"/>
    <n v="72"/>
    <x v="3"/>
    <n v="5"/>
    <x v="6"/>
  </r>
  <r>
    <x v="578"/>
    <x v="1"/>
    <n v="11126"/>
    <n v="5812"/>
    <n v="6814"/>
    <n v="3473"/>
    <n v="1841"/>
    <n v="37"/>
    <x v="2"/>
    <n v="8"/>
    <x v="11"/>
  </r>
  <r>
    <x v="109"/>
    <x v="2"/>
    <n v="3683"/>
    <n v="-2361"/>
    <n v="6621"/>
    <n v="4647"/>
    <n v="1397"/>
    <n v="51"/>
    <x v="2"/>
    <n v="2"/>
    <x v="3"/>
  </r>
  <r>
    <x v="579"/>
    <x v="0"/>
    <n v="5907"/>
    <n v="1516"/>
    <n v="7282"/>
    <n v="3578"/>
    <n v="813"/>
    <n v="57"/>
    <x v="0"/>
    <n v="9"/>
    <x v="9"/>
  </r>
  <r>
    <x v="195"/>
    <x v="3"/>
    <n v="2644"/>
    <n v="-3081"/>
    <n v="9346"/>
    <n v="4262"/>
    <n v="1463"/>
    <n v="29"/>
    <x v="0"/>
    <n v="10"/>
    <x v="4"/>
  </r>
  <r>
    <x v="580"/>
    <x v="1"/>
    <n v="2577"/>
    <n v="-401"/>
    <n v="9380"/>
    <n v="1958"/>
    <n v="1020"/>
    <n v="29"/>
    <x v="4"/>
    <n v="10"/>
    <x v="4"/>
  </r>
  <r>
    <x v="25"/>
    <x v="1"/>
    <n v="9560"/>
    <n v="3778"/>
    <n v="8100"/>
    <n v="4409"/>
    <n v="1373"/>
    <n v="75"/>
    <x v="3"/>
    <n v="1"/>
    <x v="9"/>
  </r>
  <r>
    <x v="277"/>
    <x v="0"/>
    <n v="4963"/>
    <n v="787"/>
    <n v="4279"/>
    <n v="2268"/>
    <n v="1908"/>
    <n v="21"/>
    <x v="1"/>
    <n v="2"/>
    <x v="9"/>
  </r>
  <r>
    <x v="53"/>
    <x v="0"/>
    <n v="11084"/>
    <n v="5139"/>
    <n v="6453"/>
    <n v="4911"/>
    <n v="1034"/>
    <n v="92"/>
    <x v="2"/>
    <n v="5"/>
    <x v="5"/>
  </r>
  <r>
    <x v="581"/>
    <x v="0"/>
    <n v="8161"/>
    <n v="4586"/>
    <n v="5631"/>
    <n v="2443"/>
    <n v="1132"/>
    <n v="54"/>
    <x v="0"/>
    <n v="2"/>
    <x v="1"/>
  </r>
  <r>
    <x v="576"/>
    <x v="2"/>
    <n v="5670"/>
    <n v="932"/>
    <n v="8785"/>
    <n v="3572"/>
    <n v="1166"/>
    <n v="40"/>
    <x v="1"/>
    <n v="8"/>
    <x v="2"/>
  </r>
  <r>
    <x v="582"/>
    <x v="1"/>
    <n v="11466"/>
    <n v="6031"/>
    <n v="9269"/>
    <n v="4530"/>
    <n v="905"/>
    <n v="52"/>
    <x v="0"/>
    <n v="4"/>
    <x v="3"/>
  </r>
  <r>
    <x v="583"/>
    <x v="1"/>
    <n v="6012"/>
    <n v="4215"/>
    <n v="6579"/>
    <n v="957"/>
    <n v="840"/>
    <n v="108"/>
    <x v="2"/>
    <n v="8"/>
    <x v="1"/>
  </r>
  <r>
    <x v="537"/>
    <x v="2"/>
    <n v="9575"/>
    <n v="5521"/>
    <n v="4693"/>
    <n v="2635"/>
    <n v="1419"/>
    <n v="74"/>
    <x v="1"/>
    <n v="9"/>
    <x v="9"/>
  </r>
  <r>
    <x v="584"/>
    <x v="3"/>
    <n v="7349"/>
    <n v="2582"/>
    <n v="4239"/>
    <n v="2934"/>
    <n v="1833"/>
    <n v="120"/>
    <x v="0"/>
    <n v="6"/>
    <x v="6"/>
  </r>
  <r>
    <x v="234"/>
    <x v="3"/>
    <n v="7236"/>
    <n v="2604"/>
    <n v="9662"/>
    <n v="3396"/>
    <n v="1236"/>
    <n v="107"/>
    <x v="4"/>
    <n v="4"/>
    <x v="10"/>
  </r>
  <r>
    <x v="585"/>
    <x v="2"/>
    <n v="5082"/>
    <n v="-211"/>
    <n v="4911"/>
    <n v="4152"/>
    <n v="1141"/>
    <n v="32"/>
    <x v="1"/>
    <n v="10"/>
    <x v="9"/>
  </r>
  <r>
    <x v="586"/>
    <x v="0"/>
    <n v="7809"/>
    <n v="3135"/>
    <n v="9217"/>
    <n v="4465"/>
    <n v="209"/>
    <n v="118"/>
    <x v="4"/>
    <n v="3"/>
    <x v="7"/>
  </r>
  <r>
    <x v="587"/>
    <x v="1"/>
    <n v="2225"/>
    <n v="-1068"/>
    <n v="9894"/>
    <n v="2778"/>
    <n v="515"/>
    <n v="69"/>
    <x v="1"/>
    <n v="3"/>
    <x v="9"/>
  </r>
  <r>
    <x v="588"/>
    <x v="0"/>
    <n v="5002"/>
    <n v="1300"/>
    <n v="7979"/>
    <n v="1931"/>
    <n v="1771"/>
    <n v="43"/>
    <x v="4"/>
    <n v="8"/>
    <x v="9"/>
  </r>
  <r>
    <x v="171"/>
    <x v="0"/>
    <n v="7733"/>
    <n v="4769"/>
    <n v="6502"/>
    <n v="2443"/>
    <n v="521"/>
    <n v="104"/>
    <x v="1"/>
    <n v="1"/>
    <x v="3"/>
  </r>
  <r>
    <x v="589"/>
    <x v="3"/>
    <n v="4179"/>
    <n v="-178"/>
    <n v="6318"/>
    <n v="2538"/>
    <n v="1819"/>
    <n v="112"/>
    <x v="0"/>
    <n v="10"/>
    <x v="4"/>
  </r>
  <r>
    <x v="590"/>
    <x v="2"/>
    <n v="6760"/>
    <n v="544"/>
    <n v="5966"/>
    <n v="4364"/>
    <n v="1852"/>
    <n v="10"/>
    <x v="4"/>
    <n v="5"/>
    <x v="9"/>
  </r>
  <r>
    <x v="422"/>
    <x v="2"/>
    <n v="6764"/>
    <n v="4006"/>
    <n v="7100"/>
    <n v="2270"/>
    <n v="488"/>
    <n v="103"/>
    <x v="1"/>
    <n v="8"/>
    <x v="4"/>
  </r>
  <r>
    <x v="328"/>
    <x v="0"/>
    <n v="5236"/>
    <n v="3090"/>
    <n v="7489"/>
    <n v="978"/>
    <n v="1168"/>
    <n v="83"/>
    <x v="4"/>
    <n v="8"/>
    <x v="5"/>
  </r>
  <r>
    <x v="591"/>
    <x v="0"/>
    <n v="8190"/>
    <n v="4201"/>
    <n v="5083"/>
    <n v="3423"/>
    <n v="566"/>
    <n v="63"/>
    <x v="3"/>
    <n v="4"/>
    <x v="1"/>
  </r>
  <r>
    <x v="592"/>
    <x v="1"/>
    <n v="6673"/>
    <n v="2247"/>
    <n v="8288"/>
    <n v="3461"/>
    <n v="965"/>
    <n v="55"/>
    <x v="4"/>
    <n v="9"/>
    <x v="5"/>
  </r>
  <r>
    <x v="593"/>
    <x v="2"/>
    <n v="6298"/>
    <n v="1570"/>
    <n v="7783"/>
    <n v="4526"/>
    <n v="202"/>
    <n v="106"/>
    <x v="2"/>
    <n v="4"/>
    <x v="11"/>
  </r>
  <r>
    <x v="594"/>
    <x v="1"/>
    <n v="3302"/>
    <n v="185"/>
    <n v="8749"/>
    <n v="1228"/>
    <n v="1889"/>
    <n v="108"/>
    <x v="2"/>
    <n v="4"/>
    <x v="7"/>
  </r>
  <r>
    <x v="327"/>
    <x v="3"/>
    <n v="9060"/>
    <n v="3474"/>
    <n v="6564"/>
    <n v="4887"/>
    <n v="699"/>
    <n v="65"/>
    <x v="2"/>
    <n v="6"/>
    <x v="11"/>
  </r>
  <r>
    <x v="595"/>
    <x v="3"/>
    <n v="2266"/>
    <n v="1081"/>
    <n v="7407"/>
    <n v="901"/>
    <n v="284"/>
    <n v="13"/>
    <x v="4"/>
    <n v="4"/>
    <x v="7"/>
  </r>
  <r>
    <x v="596"/>
    <x v="0"/>
    <n v="3974"/>
    <n v="819"/>
    <n v="5348"/>
    <n v="1250"/>
    <n v="1905"/>
    <n v="12"/>
    <x v="1"/>
    <n v="5"/>
    <x v="3"/>
  </r>
  <r>
    <x v="597"/>
    <x v="2"/>
    <n v="8322"/>
    <n v="3983"/>
    <n v="5413"/>
    <n v="4121"/>
    <n v="218"/>
    <n v="37"/>
    <x v="1"/>
    <n v="2"/>
    <x v="10"/>
  </r>
  <r>
    <x v="598"/>
    <x v="0"/>
    <n v="9170"/>
    <n v="3641"/>
    <n v="4797"/>
    <n v="4136"/>
    <n v="1393"/>
    <n v="58"/>
    <x v="4"/>
    <n v="8"/>
    <x v="11"/>
  </r>
  <r>
    <x v="318"/>
    <x v="1"/>
    <n v="9108"/>
    <n v="4762"/>
    <n v="6671"/>
    <n v="4104"/>
    <n v="242"/>
    <n v="61"/>
    <x v="4"/>
    <n v="4"/>
    <x v="10"/>
  </r>
  <r>
    <x v="599"/>
    <x v="2"/>
    <n v="6434"/>
    <n v="902"/>
    <n v="6711"/>
    <n v="3864"/>
    <n v="1668"/>
    <n v="98"/>
    <x v="1"/>
    <n v="9"/>
    <x v="4"/>
  </r>
  <r>
    <x v="600"/>
    <x v="1"/>
    <n v="7533"/>
    <n v="4175"/>
    <n v="8852"/>
    <n v="2345"/>
    <n v="1013"/>
    <n v="100"/>
    <x v="2"/>
    <n v="1"/>
    <x v="3"/>
  </r>
  <r>
    <x v="442"/>
    <x v="3"/>
    <n v="8211"/>
    <n v="3478"/>
    <n v="8965"/>
    <n v="4381"/>
    <n v="352"/>
    <n v="73"/>
    <x v="0"/>
    <n v="6"/>
    <x v="7"/>
  </r>
  <r>
    <x v="451"/>
    <x v="3"/>
    <n v="8314"/>
    <n v="4386"/>
    <n v="4639"/>
    <n v="2982"/>
    <n v="946"/>
    <n v="36"/>
    <x v="1"/>
    <n v="10"/>
    <x v="5"/>
  </r>
  <r>
    <x v="237"/>
    <x v="3"/>
    <n v="7374"/>
    <n v="2361"/>
    <n v="4872"/>
    <n v="4230"/>
    <n v="783"/>
    <n v="50"/>
    <x v="2"/>
    <n v="5"/>
    <x v="5"/>
  </r>
  <r>
    <x v="584"/>
    <x v="2"/>
    <n v="5283"/>
    <n v="2545"/>
    <n v="7365"/>
    <n v="860"/>
    <n v="1878"/>
    <n v="55"/>
    <x v="3"/>
    <n v="4"/>
    <x v="6"/>
  </r>
  <r>
    <x v="255"/>
    <x v="2"/>
    <n v="5212"/>
    <n v="1960"/>
    <n v="9083"/>
    <n v="1505"/>
    <n v="1747"/>
    <n v="12"/>
    <x v="3"/>
    <n v="8"/>
    <x v="0"/>
  </r>
  <r>
    <x v="601"/>
    <x v="3"/>
    <n v="7826"/>
    <n v="5132"/>
    <n v="9170"/>
    <n v="1545"/>
    <n v="1149"/>
    <n v="14"/>
    <x v="0"/>
    <n v="2"/>
    <x v="2"/>
  </r>
  <r>
    <x v="602"/>
    <x v="3"/>
    <n v="2375"/>
    <n v="-1689"/>
    <n v="6881"/>
    <n v="3822"/>
    <n v="242"/>
    <n v="108"/>
    <x v="4"/>
    <n v="6"/>
    <x v="6"/>
  </r>
  <r>
    <x v="570"/>
    <x v="1"/>
    <n v="4504"/>
    <n v="2192"/>
    <n v="9214"/>
    <n v="1120"/>
    <n v="1192"/>
    <n v="31"/>
    <x v="2"/>
    <n v="2"/>
    <x v="0"/>
  </r>
  <r>
    <x v="500"/>
    <x v="0"/>
    <n v="7199"/>
    <n v="3887"/>
    <n v="5367"/>
    <n v="2110"/>
    <n v="1202"/>
    <n v="46"/>
    <x v="3"/>
    <n v="1"/>
    <x v="3"/>
  </r>
  <r>
    <x v="169"/>
    <x v="0"/>
    <n v="9110"/>
    <n v="6699"/>
    <n v="4774"/>
    <n v="843"/>
    <n v="1568"/>
    <n v="35"/>
    <x v="4"/>
    <n v="1"/>
    <x v="1"/>
  </r>
  <r>
    <x v="603"/>
    <x v="0"/>
    <n v="6953"/>
    <n v="3044"/>
    <n v="8621"/>
    <n v="3653"/>
    <n v="256"/>
    <n v="107"/>
    <x v="0"/>
    <n v="4"/>
    <x v="2"/>
  </r>
  <r>
    <x v="604"/>
    <x v="0"/>
    <n v="3896"/>
    <n v="1715"/>
    <n v="9219"/>
    <n v="1716"/>
    <n v="465"/>
    <n v="30"/>
    <x v="3"/>
    <n v="8"/>
    <x v="2"/>
  </r>
  <r>
    <x v="605"/>
    <x v="0"/>
    <n v="2999"/>
    <n v="124"/>
    <n v="5529"/>
    <n v="889"/>
    <n v="1986"/>
    <n v="79"/>
    <x v="1"/>
    <n v="6"/>
    <x v="6"/>
  </r>
  <r>
    <x v="606"/>
    <x v="1"/>
    <n v="9190"/>
    <n v="6079"/>
    <n v="9170"/>
    <n v="2320"/>
    <n v="791"/>
    <n v="42"/>
    <x v="0"/>
    <n v="1"/>
    <x v="8"/>
  </r>
  <r>
    <x v="607"/>
    <x v="1"/>
    <n v="5421"/>
    <n v="4029"/>
    <n v="8230"/>
    <n v="1006"/>
    <n v="386"/>
    <n v="72"/>
    <x v="4"/>
    <n v="5"/>
    <x v="9"/>
  </r>
  <r>
    <x v="608"/>
    <x v="2"/>
    <n v="3107"/>
    <n v="-2105"/>
    <n v="6010"/>
    <n v="4865"/>
    <n v="347"/>
    <n v="21"/>
    <x v="3"/>
    <n v="2"/>
    <x v="4"/>
  </r>
  <r>
    <x v="609"/>
    <x v="0"/>
    <n v="2456"/>
    <n v="-2800"/>
    <n v="9605"/>
    <n v="4005"/>
    <n v="1251"/>
    <n v="79"/>
    <x v="2"/>
    <n v="4"/>
    <x v="9"/>
  </r>
  <r>
    <x v="44"/>
    <x v="2"/>
    <n v="3203"/>
    <n v="921"/>
    <n v="7535"/>
    <n v="1178"/>
    <n v="1104"/>
    <n v="40"/>
    <x v="4"/>
    <n v="6"/>
    <x v="1"/>
  </r>
  <r>
    <x v="526"/>
    <x v="2"/>
    <n v="6018"/>
    <n v="3555"/>
    <n v="9213"/>
    <n v="1602"/>
    <n v="861"/>
    <n v="57"/>
    <x v="4"/>
    <n v="6"/>
    <x v="10"/>
  </r>
  <r>
    <x v="610"/>
    <x v="0"/>
    <n v="5107"/>
    <n v="2969"/>
    <n v="8709"/>
    <n v="953"/>
    <n v="1185"/>
    <n v="16"/>
    <x v="0"/>
    <n v="6"/>
    <x v="5"/>
  </r>
  <r>
    <x v="611"/>
    <x v="3"/>
    <n v="4135"/>
    <n v="1619"/>
    <n v="7241"/>
    <n v="1741"/>
    <n v="775"/>
    <n v="100"/>
    <x v="3"/>
    <n v="1"/>
    <x v="5"/>
  </r>
  <r>
    <x v="405"/>
    <x v="0"/>
    <n v="7147"/>
    <n v="2916"/>
    <n v="5542"/>
    <n v="3789"/>
    <n v="442"/>
    <n v="102"/>
    <x v="0"/>
    <n v="9"/>
    <x v="6"/>
  </r>
  <r>
    <x v="612"/>
    <x v="3"/>
    <n v="7934"/>
    <n v="5000"/>
    <n v="4316"/>
    <n v="2439"/>
    <n v="495"/>
    <n v="83"/>
    <x v="2"/>
    <n v="3"/>
    <x v="6"/>
  </r>
  <r>
    <x v="613"/>
    <x v="2"/>
    <n v="4501"/>
    <n v="1312"/>
    <n v="6802"/>
    <n v="1896"/>
    <n v="1293"/>
    <n v="59"/>
    <x v="0"/>
    <n v="3"/>
    <x v="11"/>
  </r>
  <r>
    <x v="164"/>
    <x v="2"/>
    <n v="5768"/>
    <n v="1523"/>
    <n v="6595"/>
    <n v="3833"/>
    <n v="412"/>
    <n v="67"/>
    <x v="3"/>
    <n v="4"/>
    <x v="11"/>
  </r>
  <r>
    <x v="614"/>
    <x v="2"/>
    <n v="5136"/>
    <n v="-647"/>
    <n v="9384"/>
    <n v="4239"/>
    <n v="1544"/>
    <n v="25"/>
    <x v="4"/>
    <n v="2"/>
    <x v="0"/>
  </r>
  <r>
    <x v="615"/>
    <x v="3"/>
    <n v="6834"/>
    <n v="3093"/>
    <n v="4790"/>
    <n v="2501"/>
    <n v="1240"/>
    <n v="16"/>
    <x v="4"/>
    <n v="3"/>
    <x v="7"/>
  </r>
  <r>
    <x v="616"/>
    <x v="2"/>
    <n v="2770"/>
    <n v="-877"/>
    <n v="9403"/>
    <n v="2145"/>
    <n v="1502"/>
    <n v="19"/>
    <x v="2"/>
    <n v="5"/>
    <x v="5"/>
  </r>
  <r>
    <x v="617"/>
    <x v="1"/>
    <n v="10250"/>
    <n v="8352"/>
    <n v="9143"/>
    <n v="976"/>
    <n v="922"/>
    <n v="85"/>
    <x v="4"/>
    <n v="4"/>
    <x v="6"/>
  </r>
  <r>
    <x v="215"/>
    <x v="1"/>
    <n v="3330"/>
    <n v="-2633"/>
    <n v="5854"/>
    <n v="3964"/>
    <n v="1999"/>
    <n v="45"/>
    <x v="1"/>
    <n v="3"/>
    <x v="9"/>
  </r>
  <r>
    <x v="618"/>
    <x v="2"/>
    <n v="4883"/>
    <n v="-1264"/>
    <n v="8065"/>
    <n v="4891"/>
    <n v="1256"/>
    <n v="12"/>
    <x v="3"/>
    <n v="6"/>
    <x v="4"/>
  </r>
  <r>
    <x v="613"/>
    <x v="2"/>
    <n v="5387"/>
    <n v="878"/>
    <n v="4380"/>
    <n v="3996"/>
    <n v="513"/>
    <n v="85"/>
    <x v="0"/>
    <n v="3"/>
    <x v="11"/>
  </r>
  <r>
    <x v="248"/>
    <x v="1"/>
    <n v="3239"/>
    <n v="-2880"/>
    <n v="9346"/>
    <n v="4349"/>
    <n v="1770"/>
    <n v="61"/>
    <x v="3"/>
    <n v="8"/>
    <x v="10"/>
  </r>
  <r>
    <x v="342"/>
    <x v="3"/>
    <n v="8983"/>
    <n v="5438"/>
    <n v="6348"/>
    <n v="2907"/>
    <n v="638"/>
    <n v="96"/>
    <x v="3"/>
    <n v="4"/>
    <x v="7"/>
  </r>
  <r>
    <x v="619"/>
    <x v="2"/>
    <n v="4427"/>
    <n v="473"/>
    <n v="6376"/>
    <n v="3503"/>
    <n v="451"/>
    <n v="103"/>
    <x v="2"/>
    <n v="7"/>
    <x v="7"/>
  </r>
  <r>
    <x v="620"/>
    <x v="1"/>
    <n v="2814"/>
    <n v="-3494"/>
    <n v="8896"/>
    <n v="4695"/>
    <n v="1613"/>
    <n v="46"/>
    <x v="4"/>
    <n v="6"/>
    <x v="4"/>
  </r>
  <r>
    <x v="615"/>
    <x v="1"/>
    <n v="7018"/>
    <n v="5258"/>
    <n v="9738"/>
    <n v="815"/>
    <n v="945"/>
    <n v="38"/>
    <x v="0"/>
    <n v="3"/>
    <x v="7"/>
  </r>
  <r>
    <x v="132"/>
    <x v="2"/>
    <n v="6911"/>
    <n v="1400"/>
    <n v="5404"/>
    <n v="3679"/>
    <n v="1832"/>
    <n v="16"/>
    <x v="1"/>
    <n v="8"/>
    <x v="9"/>
  </r>
  <r>
    <x v="220"/>
    <x v="0"/>
    <n v="8176"/>
    <n v="4572"/>
    <n v="9736"/>
    <n v="1857"/>
    <n v="1747"/>
    <n v="51"/>
    <x v="0"/>
    <n v="8"/>
    <x v="5"/>
  </r>
  <r>
    <x v="621"/>
    <x v="1"/>
    <n v="8659"/>
    <n v="6185"/>
    <n v="8032"/>
    <n v="927"/>
    <n v="1547"/>
    <n v="30"/>
    <x v="4"/>
    <n v="2"/>
    <x v="2"/>
  </r>
  <r>
    <x v="108"/>
    <x v="1"/>
    <n v="7256"/>
    <n v="2637"/>
    <n v="9658"/>
    <n v="3953"/>
    <n v="666"/>
    <n v="38"/>
    <x v="3"/>
    <n v="8"/>
    <x v="0"/>
  </r>
  <r>
    <x v="622"/>
    <x v="3"/>
    <n v="10900"/>
    <n v="6355"/>
    <n v="6651"/>
    <n v="3133"/>
    <n v="1412"/>
    <n v="17"/>
    <x v="0"/>
    <n v="7"/>
    <x v="2"/>
  </r>
  <r>
    <x v="623"/>
    <x v="2"/>
    <n v="11708"/>
    <n v="8440"/>
    <n v="4517"/>
    <n v="1312"/>
    <n v="1956"/>
    <n v="100"/>
    <x v="3"/>
    <n v="7"/>
    <x v="7"/>
  </r>
  <r>
    <x v="624"/>
    <x v="2"/>
    <n v="6477"/>
    <n v="622"/>
    <n v="8896"/>
    <n v="4166"/>
    <n v="1689"/>
    <n v="90"/>
    <x v="1"/>
    <n v="9"/>
    <x v="7"/>
  </r>
  <r>
    <x v="625"/>
    <x v="0"/>
    <n v="2512"/>
    <n v="-2110"/>
    <n v="8292"/>
    <n v="3314"/>
    <n v="1308"/>
    <n v="14"/>
    <x v="3"/>
    <n v="6"/>
    <x v="2"/>
  </r>
  <r>
    <x v="115"/>
    <x v="2"/>
    <n v="10287"/>
    <n v="5521"/>
    <n v="7405"/>
    <n v="2926"/>
    <n v="1840"/>
    <n v="56"/>
    <x v="4"/>
    <n v="3"/>
    <x v="11"/>
  </r>
  <r>
    <x v="300"/>
    <x v="1"/>
    <n v="5824"/>
    <n v="2988"/>
    <n v="6665"/>
    <n v="990"/>
    <n v="1846"/>
    <n v="109"/>
    <x v="2"/>
    <n v="4"/>
    <x v="6"/>
  </r>
  <r>
    <x v="328"/>
    <x v="1"/>
    <n v="7382"/>
    <n v="1117"/>
    <n v="7913"/>
    <n v="4387"/>
    <n v="1878"/>
    <n v="21"/>
    <x v="0"/>
    <n v="10"/>
    <x v="5"/>
  </r>
  <r>
    <x v="626"/>
    <x v="3"/>
    <n v="9394"/>
    <n v="5699"/>
    <n v="6272"/>
    <n v="3161"/>
    <n v="534"/>
    <n v="76"/>
    <x v="3"/>
    <n v="9"/>
    <x v="5"/>
  </r>
  <r>
    <x v="358"/>
    <x v="2"/>
    <n v="6580"/>
    <n v="3187"/>
    <n v="6866"/>
    <n v="2715"/>
    <n v="678"/>
    <n v="40"/>
    <x v="4"/>
    <n v="6"/>
    <x v="3"/>
  </r>
  <r>
    <x v="10"/>
    <x v="0"/>
    <n v="7690"/>
    <n v="6288"/>
    <n v="8393"/>
    <n v="930"/>
    <n v="472"/>
    <n v="33"/>
    <x v="2"/>
    <n v="5"/>
    <x v="7"/>
  </r>
  <r>
    <x v="627"/>
    <x v="3"/>
    <n v="8093"/>
    <n v="4168"/>
    <n v="7953"/>
    <n v="2768"/>
    <n v="1157"/>
    <n v="75"/>
    <x v="0"/>
    <n v="5"/>
    <x v="10"/>
  </r>
  <r>
    <x v="628"/>
    <x v="1"/>
    <n v="8403"/>
    <n v="4920"/>
    <n v="6509"/>
    <n v="2639"/>
    <n v="844"/>
    <n v="54"/>
    <x v="3"/>
    <n v="7"/>
    <x v="4"/>
  </r>
  <r>
    <x v="603"/>
    <x v="0"/>
    <n v="2855"/>
    <n v="-1065"/>
    <n v="4877"/>
    <n v="2730"/>
    <n v="1190"/>
    <n v="90"/>
    <x v="1"/>
    <n v="2"/>
    <x v="2"/>
  </r>
  <r>
    <x v="147"/>
    <x v="0"/>
    <n v="3113"/>
    <n v="661"/>
    <n v="4684"/>
    <n v="1113"/>
    <n v="1339"/>
    <n v="37"/>
    <x v="3"/>
    <n v="1"/>
    <x v="1"/>
  </r>
  <r>
    <x v="629"/>
    <x v="0"/>
    <n v="10220"/>
    <n v="4788"/>
    <n v="4338"/>
    <n v="3783"/>
    <n v="1649"/>
    <n v="107"/>
    <x v="1"/>
    <n v="2"/>
    <x v="8"/>
  </r>
  <r>
    <x v="160"/>
    <x v="3"/>
    <n v="8096"/>
    <n v="3512"/>
    <n v="5892"/>
    <n v="3431"/>
    <n v="1153"/>
    <n v="105"/>
    <x v="0"/>
    <n v="6"/>
    <x v="4"/>
  </r>
  <r>
    <x v="535"/>
    <x v="2"/>
    <n v="4417"/>
    <n v="-355"/>
    <n v="6474"/>
    <n v="3791"/>
    <n v="981"/>
    <n v="83"/>
    <x v="1"/>
    <n v="10"/>
    <x v="4"/>
  </r>
  <r>
    <x v="13"/>
    <x v="2"/>
    <n v="9433"/>
    <n v="6113"/>
    <n v="8931"/>
    <n v="2497"/>
    <n v="823"/>
    <n v="98"/>
    <x v="1"/>
    <n v="7"/>
    <x v="7"/>
  </r>
  <r>
    <x v="630"/>
    <x v="3"/>
    <n v="5172"/>
    <n v="784"/>
    <n v="6064"/>
    <n v="4164"/>
    <n v="224"/>
    <n v="26"/>
    <x v="3"/>
    <n v="4"/>
    <x v="9"/>
  </r>
  <r>
    <x v="530"/>
    <x v="0"/>
    <n v="5362"/>
    <n v="1813"/>
    <n v="5809"/>
    <n v="2943"/>
    <n v="606"/>
    <n v="54"/>
    <x v="1"/>
    <n v="4"/>
    <x v="2"/>
  </r>
  <r>
    <x v="631"/>
    <x v="1"/>
    <n v="2995"/>
    <n v="-1152"/>
    <n v="9453"/>
    <n v="3573"/>
    <n v="574"/>
    <n v="91"/>
    <x v="4"/>
    <n v="4"/>
    <x v="1"/>
  </r>
  <r>
    <x v="632"/>
    <x v="3"/>
    <n v="2934"/>
    <n v="-1047"/>
    <n v="8499"/>
    <n v="3219"/>
    <n v="762"/>
    <n v="73"/>
    <x v="4"/>
    <n v="2"/>
    <x v="2"/>
  </r>
  <r>
    <x v="633"/>
    <x v="2"/>
    <n v="2309"/>
    <n v="-2620"/>
    <n v="5622"/>
    <n v="4293"/>
    <n v="636"/>
    <n v="59"/>
    <x v="0"/>
    <n v="6"/>
    <x v="3"/>
  </r>
  <r>
    <x v="562"/>
    <x v="0"/>
    <n v="7618"/>
    <n v="4817"/>
    <n v="4175"/>
    <n v="925"/>
    <n v="1876"/>
    <n v="110"/>
    <x v="3"/>
    <n v="6"/>
    <x v="5"/>
  </r>
  <r>
    <x v="459"/>
    <x v="3"/>
    <n v="6447"/>
    <n v="1198"/>
    <n v="7830"/>
    <n v="4723"/>
    <n v="526"/>
    <n v="118"/>
    <x v="2"/>
    <n v="8"/>
    <x v="8"/>
  </r>
  <r>
    <x v="416"/>
    <x v="2"/>
    <n v="3326"/>
    <n v="637"/>
    <n v="7437"/>
    <n v="1100"/>
    <n v="1589"/>
    <n v="56"/>
    <x v="3"/>
    <n v="10"/>
    <x v="6"/>
  </r>
  <r>
    <x v="634"/>
    <x v="1"/>
    <n v="2718"/>
    <n v="-1709"/>
    <n v="7598"/>
    <n v="3408"/>
    <n v="1019"/>
    <n v="115"/>
    <x v="3"/>
    <n v="5"/>
    <x v="10"/>
  </r>
  <r>
    <x v="47"/>
    <x v="3"/>
    <n v="7872"/>
    <n v="2476"/>
    <n v="4364"/>
    <n v="4599"/>
    <n v="797"/>
    <n v="94"/>
    <x v="1"/>
    <n v="5"/>
    <x v="0"/>
  </r>
  <r>
    <x v="495"/>
    <x v="0"/>
    <n v="11786"/>
    <n v="9035"/>
    <n v="6334"/>
    <n v="1456"/>
    <n v="1295"/>
    <n v="12"/>
    <x v="1"/>
    <n v="4"/>
    <x v="2"/>
  </r>
  <r>
    <x v="179"/>
    <x v="2"/>
    <n v="3761"/>
    <n v="-506"/>
    <n v="8716"/>
    <n v="3841"/>
    <n v="426"/>
    <n v="99"/>
    <x v="3"/>
    <n v="10"/>
    <x v="7"/>
  </r>
  <r>
    <x v="106"/>
    <x v="1"/>
    <n v="8836"/>
    <n v="4275"/>
    <n v="6513"/>
    <n v="3063"/>
    <n v="1498"/>
    <n v="107"/>
    <x v="3"/>
    <n v="6"/>
    <x v="5"/>
  </r>
  <r>
    <x v="320"/>
    <x v="1"/>
    <n v="9565"/>
    <n v="5163"/>
    <n v="7441"/>
    <n v="3103"/>
    <n v="1299"/>
    <n v="96"/>
    <x v="3"/>
    <n v="2"/>
    <x v="3"/>
  </r>
  <r>
    <x v="635"/>
    <x v="3"/>
    <n v="2851"/>
    <n v="-534"/>
    <n v="4660"/>
    <n v="1679"/>
    <n v="1706"/>
    <n v="69"/>
    <x v="4"/>
    <n v="5"/>
    <x v="10"/>
  </r>
  <r>
    <x v="498"/>
    <x v="1"/>
    <n v="10492"/>
    <n v="6378"/>
    <n v="4839"/>
    <n v="3420"/>
    <n v="694"/>
    <n v="39"/>
    <x v="2"/>
    <n v="4"/>
    <x v="1"/>
  </r>
  <r>
    <x v="116"/>
    <x v="1"/>
    <n v="3787"/>
    <n v="524"/>
    <n v="8873"/>
    <n v="1382"/>
    <n v="1881"/>
    <n v="17"/>
    <x v="3"/>
    <n v="4"/>
    <x v="4"/>
  </r>
  <r>
    <x v="636"/>
    <x v="1"/>
    <n v="7417"/>
    <n v="1618"/>
    <n v="9861"/>
    <n v="3917"/>
    <n v="1882"/>
    <n v="101"/>
    <x v="1"/>
    <n v="4"/>
    <x v="4"/>
  </r>
  <r>
    <x v="168"/>
    <x v="1"/>
    <n v="2086"/>
    <n v="-536"/>
    <n v="5046"/>
    <n v="1449"/>
    <n v="1173"/>
    <n v="76"/>
    <x v="3"/>
    <n v="6"/>
    <x v="10"/>
  </r>
  <r>
    <x v="637"/>
    <x v="1"/>
    <n v="8350"/>
    <n v="4845"/>
    <n v="5569"/>
    <n v="2945"/>
    <n v="560"/>
    <n v="85"/>
    <x v="3"/>
    <n v="8"/>
    <x v="7"/>
  </r>
  <r>
    <x v="638"/>
    <x v="3"/>
    <n v="3545"/>
    <n v="1968"/>
    <n v="8223"/>
    <n v="1200"/>
    <n v="377"/>
    <n v="36"/>
    <x v="4"/>
    <n v="5"/>
    <x v="1"/>
  </r>
  <r>
    <x v="639"/>
    <x v="2"/>
    <n v="11493"/>
    <n v="6579"/>
    <n v="8505"/>
    <n v="4341"/>
    <n v="573"/>
    <n v="115"/>
    <x v="3"/>
    <n v="10"/>
    <x v="4"/>
  </r>
  <r>
    <x v="640"/>
    <x v="1"/>
    <n v="4131"/>
    <n v="1287"/>
    <n v="9983"/>
    <n v="978"/>
    <n v="1866"/>
    <n v="98"/>
    <x v="4"/>
    <n v="1"/>
    <x v="0"/>
  </r>
  <r>
    <x v="641"/>
    <x v="1"/>
    <n v="2783"/>
    <n v="157"/>
    <n v="9190"/>
    <n v="1934"/>
    <n v="692"/>
    <n v="14"/>
    <x v="1"/>
    <n v="1"/>
    <x v="7"/>
  </r>
  <r>
    <x v="642"/>
    <x v="2"/>
    <n v="10116"/>
    <n v="6031"/>
    <n v="6359"/>
    <n v="3191"/>
    <n v="894"/>
    <n v="13"/>
    <x v="1"/>
    <n v="4"/>
    <x v="1"/>
  </r>
  <r>
    <x v="643"/>
    <x v="2"/>
    <n v="3132"/>
    <n v="-1371"/>
    <n v="5612"/>
    <n v="4059"/>
    <n v="444"/>
    <n v="112"/>
    <x v="4"/>
    <n v="7"/>
    <x v="6"/>
  </r>
  <r>
    <x v="492"/>
    <x v="3"/>
    <n v="6049"/>
    <n v="3525"/>
    <n v="4241"/>
    <n v="2024"/>
    <n v="500"/>
    <n v="10"/>
    <x v="2"/>
    <n v="5"/>
    <x v="10"/>
  </r>
  <r>
    <x v="644"/>
    <x v="0"/>
    <n v="11171"/>
    <n v="6661"/>
    <n v="7426"/>
    <n v="2614"/>
    <n v="1896"/>
    <n v="18"/>
    <x v="1"/>
    <n v="8"/>
    <x v="5"/>
  </r>
  <r>
    <x v="522"/>
    <x v="2"/>
    <n v="11141"/>
    <n v="6090"/>
    <n v="5906"/>
    <n v="3897"/>
    <n v="1154"/>
    <n v="41"/>
    <x v="0"/>
    <n v="8"/>
    <x v="0"/>
  </r>
  <r>
    <x v="645"/>
    <x v="1"/>
    <n v="3991"/>
    <n v="1238"/>
    <n v="5508"/>
    <n v="2301"/>
    <n v="452"/>
    <n v="99"/>
    <x v="4"/>
    <n v="4"/>
    <x v="6"/>
  </r>
  <r>
    <x v="646"/>
    <x v="0"/>
    <n v="9881"/>
    <n v="7455"/>
    <n v="7557"/>
    <n v="1619"/>
    <n v="807"/>
    <n v="12"/>
    <x v="1"/>
    <n v="6"/>
    <x v="10"/>
  </r>
  <r>
    <x v="79"/>
    <x v="2"/>
    <n v="4019"/>
    <n v="-2150"/>
    <n v="5496"/>
    <n v="4909"/>
    <n v="1260"/>
    <n v="120"/>
    <x v="0"/>
    <n v="7"/>
    <x v="0"/>
  </r>
  <r>
    <x v="647"/>
    <x v="0"/>
    <n v="8593"/>
    <n v="2852"/>
    <n v="5607"/>
    <n v="4897"/>
    <n v="844"/>
    <n v="33"/>
    <x v="0"/>
    <n v="7"/>
    <x v="3"/>
  </r>
  <r>
    <x v="393"/>
    <x v="3"/>
    <n v="5982"/>
    <n v="280"/>
    <n v="4563"/>
    <n v="4222"/>
    <n v="1480"/>
    <n v="44"/>
    <x v="2"/>
    <n v="3"/>
    <x v="7"/>
  </r>
  <r>
    <x v="648"/>
    <x v="1"/>
    <n v="5935"/>
    <n v="720"/>
    <n v="6955"/>
    <n v="4005"/>
    <n v="1210"/>
    <n v="94"/>
    <x v="2"/>
    <n v="3"/>
    <x v="5"/>
  </r>
  <r>
    <x v="649"/>
    <x v="1"/>
    <n v="8143"/>
    <n v="4558"/>
    <n v="4291"/>
    <n v="2474"/>
    <n v="1111"/>
    <n v="42"/>
    <x v="4"/>
    <n v="1"/>
    <x v="11"/>
  </r>
  <r>
    <x v="650"/>
    <x v="0"/>
    <n v="3304"/>
    <n v="1410"/>
    <n v="7698"/>
    <n v="1529"/>
    <n v="365"/>
    <n v="108"/>
    <x v="2"/>
    <n v="5"/>
    <x v="8"/>
  </r>
  <r>
    <x v="527"/>
    <x v="0"/>
    <n v="4029"/>
    <n v="-32"/>
    <n v="4552"/>
    <n v="2315"/>
    <n v="1746"/>
    <n v="19"/>
    <x v="2"/>
    <n v="1"/>
    <x v="1"/>
  </r>
  <r>
    <x v="70"/>
    <x v="3"/>
    <n v="9398"/>
    <n v="4958"/>
    <n v="7570"/>
    <n v="2571"/>
    <n v="1869"/>
    <n v="99"/>
    <x v="4"/>
    <n v="9"/>
    <x v="6"/>
  </r>
  <r>
    <x v="651"/>
    <x v="0"/>
    <n v="9472"/>
    <n v="4520"/>
    <n v="8420"/>
    <n v="4521"/>
    <n v="431"/>
    <n v="120"/>
    <x v="2"/>
    <n v="8"/>
    <x v="2"/>
  </r>
  <r>
    <x v="391"/>
    <x v="0"/>
    <n v="4375"/>
    <n v="-891"/>
    <n v="4766"/>
    <n v="4161"/>
    <n v="1105"/>
    <n v="14"/>
    <x v="1"/>
    <n v="1"/>
    <x v="10"/>
  </r>
  <r>
    <x v="652"/>
    <x v="2"/>
    <n v="9349"/>
    <n v="6024"/>
    <n v="7043"/>
    <n v="1838"/>
    <n v="1487"/>
    <n v="13"/>
    <x v="3"/>
    <n v="5"/>
    <x v="6"/>
  </r>
  <r>
    <x v="653"/>
    <x v="2"/>
    <n v="11028"/>
    <n v="7219"/>
    <n v="8131"/>
    <n v="2833"/>
    <n v="976"/>
    <n v="106"/>
    <x v="1"/>
    <n v="7"/>
    <x v="4"/>
  </r>
  <r>
    <x v="654"/>
    <x v="0"/>
    <n v="5084"/>
    <n v="-1203"/>
    <n v="5056"/>
    <n v="4519"/>
    <n v="1768"/>
    <n v="83"/>
    <x v="4"/>
    <n v="10"/>
    <x v="1"/>
  </r>
  <r>
    <x v="112"/>
    <x v="3"/>
    <n v="4964"/>
    <n v="705"/>
    <n v="8140"/>
    <n v="2478"/>
    <n v="1781"/>
    <n v="117"/>
    <x v="3"/>
    <n v="8"/>
    <x v="8"/>
  </r>
  <r>
    <x v="417"/>
    <x v="3"/>
    <n v="10776"/>
    <n v="6628"/>
    <n v="6554"/>
    <n v="2338"/>
    <n v="1810"/>
    <n v="63"/>
    <x v="4"/>
    <n v="7"/>
    <x v="1"/>
  </r>
  <r>
    <x v="164"/>
    <x v="1"/>
    <n v="7947"/>
    <n v="3816"/>
    <n v="9395"/>
    <n v="2845"/>
    <n v="1286"/>
    <n v="44"/>
    <x v="0"/>
    <n v="2"/>
    <x v="11"/>
  </r>
  <r>
    <x v="655"/>
    <x v="0"/>
    <n v="3974"/>
    <n v="-88"/>
    <n v="4935"/>
    <n v="3085"/>
    <n v="977"/>
    <n v="32"/>
    <x v="1"/>
    <n v="7"/>
    <x v="2"/>
  </r>
  <r>
    <x v="656"/>
    <x v="1"/>
    <n v="3969"/>
    <n v="-2723"/>
    <n v="5591"/>
    <n v="4921"/>
    <n v="1771"/>
    <n v="53"/>
    <x v="3"/>
    <n v="2"/>
    <x v="5"/>
  </r>
  <r>
    <x v="657"/>
    <x v="3"/>
    <n v="9038"/>
    <n v="3691"/>
    <n v="7624"/>
    <n v="3905"/>
    <n v="1442"/>
    <n v="27"/>
    <x v="1"/>
    <n v="10"/>
    <x v="10"/>
  </r>
  <r>
    <x v="658"/>
    <x v="1"/>
    <n v="2090"/>
    <n v="-2288"/>
    <n v="5988"/>
    <n v="2947"/>
    <n v="1431"/>
    <n v="62"/>
    <x v="1"/>
    <n v="3"/>
    <x v="7"/>
  </r>
  <r>
    <x v="634"/>
    <x v="2"/>
    <n v="11541"/>
    <n v="7085"/>
    <n v="6431"/>
    <n v="2537"/>
    <n v="1919"/>
    <n v="109"/>
    <x v="3"/>
    <n v="6"/>
    <x v="10"/>
  </r>
  <r>
    <x v="252"/>
    <x v="3"/>
    <n v="4165"/>
    <n v="2273"/>
    <n v="8085"/>
    <n v="891"/>
    <n v="1001"/>
    <n v="46"/>
    <x v="0"/>
    <n v="3"/>
    <x v="6"/>
  </r>
  <r>
    <x v="659"/>
    <x v="1"/>
    <n v="4621"/>
    <n v="1997"/>
    <n v="7848"/>
    <n v="1629"/>
    <n v="995"/>
    <n v="116"/>
    <x v="4"/>
    <n v="10"/>
    <x v="3"/>
  </r>
  <r>
    <x v="291"/>
    <x v="1"/>
    <n v="3456"/>
    <n v="683"/>
    <n v="6628"/>
    <n v="2034"/>
    <n v="739"/>
    <n v="64"/>
    <x v="3"/>
    <n v="1"/>
    <x v="1"/>
  </r>
  <r>
    <x v="660"/>
    <x v="1"/>
    <n v="5541"/>
    <n v="1412"/>
    <n v="6528"/>
    <n v="3793"/>
    <n v="336"/>
    <n v="34"/>
    <x v="0"/>
    <n v="4"/>
    <x v="10"/>
  </r>
  <r>
    <x v="661"/>
    <x v="3"/>
    <n v="10789"/>
    <n v="8651"/>
    <n v="7565"/>
    <n v="1349"/>
    <n v="789"/>
    <n v="18"/>
    <x v="4"/>
    <n v="6"/>
    <x v="4"/>
  </r>
  <r>
    <x v="317"/>
    <x v="3"/>
    <n v="4974"/>
    <n v="-57"/>
    <n v="7253"/>
    <n v="4689"/>
    <n v="342"/>
    <n v="68"/>
    <x v="0"/>
    <n v="6"/>
    <x v="8"/>
  </r>
  <r>
    <x v="662"/>
    <x v="2"/>
    <n v="4145"/>
    <n v="2793"/>
    <n v="9621"/>
    <n v="924"/>
    <n v="428"/>
    <n v="71"/>
    <x v="2"/>
    <n v="1"/>
    <x v="6"/>
  </r>
  <r>
    <x v="447"/>
    <x v="1"/>
    <n v="2213"/>
    <n v="-129"/>
    <n v="8232"/>
    <n v="957"/>
    <n v="1385"/>
    <n v="109"/>
    <x v="0"/>
    <n v="2"/>
    <x v="7"/>
  </r>
  <r>
    <x v="489"/>
    <x v="1"/>
    <n v="2083"/>
    <n v="-3488"/>
    <n v="5078"/>
    <n v="3810"/>
    <n v="1761"/>
    <n v="113"/>
    <x v="3"/>
    <n v="5"/>
    <x v="2"/>
  </r>
  <r>
    <x v="663"/>
    <x v="1"/>
    <n v="9762"/>
    <n v="4974"/>
    <n v="9241"/>
    <n v="2814"/>
    <n v="1974"/>
    <n v="58"/>
    <x v="1"/>
    <n v="7"/>
    <x v="4"/>
  </r>
  <r>
    <x v="664"/>
    <x v="2"/>
    <n v="9181"/>
    <n v="4391"/>
    <n v="7127"/>
    <n v="4033"/>
    <n v="757"/>
    <n v="62"/>
    <x v="2"/>
    <n v="8"/>
    <x v="7"/>
  </r>
  <r>
    <x v="239"/>
    <x v="2"/>
    <n v="2262"/>
    <n v="428"/>
    <n v="6253"/>
    <n v="1016"/>
    <n v="818"/>
    <n v="55"/>
    <x v="0"/>
    <n v="1"/>
    <x v="7"/>
  </r>
  <r>
    <x v="665"/>
    <x v="3"/>
    <n v="11245"/>
    <n v="7993"/>
    <n v="5122"/>
    <n v="2300"/>
    <n v="952"/>
    <n v="116"/>
    <x v="1"/>
    <n v="8"/>
    <x v="2"/>
  </r>
  <r>
    <x v="666"/>
    <x v="0"/>
    <n v="10728"/>
    <n v="6212"/>
    <n v="4877"/>
    <n v="3843"/>
    <n v="673"/>
    <n v="49"/>
    <x v="3"/>
    <n v="10"/>
    <x v="4"/>
  </r>
  <r>
    <x v="128"/>
    <x v="1"/>
    <n v="5543"/>
    <n v="578"/>
    <n v="9197"/>
    <n v="3411"/>
    <n v="1554"/>
    <n v="85"/>
    <x v="2"/>
    <n v="8"/>
    <x v="4"/>
  </r>
  <r>
    <x v="317"/>
    <x v="2"/>
    <n v="10935"/>
    <n v="6051"/>
    <n v="9852"/>
    <n v="3927"/>
    <n v="957"/>
    <n v="24"/>
    <x v="0"/>
    <n v="5"/>
    <x v="8"/>
  </r>
  <r>
    <x v="608"/>
    <x v="2"/>
    <n v="9152"/>
    <n v="4590"/>
    <n v="4077"/>
    <n v="4141"/>
    <n v="421"/>
    <n v="94"/>
    <x v="0"/>
    <n v="10"/>
    <x v="4"/>
  </r>
  <r>
    <x v="667"/>
    <x v="2"/>
    <n v="2238"/>
    <n v="-355"/>
    <n v="6678"/>
    <n v="1970"/>
    <n v="623"/>
    <n v="103"/>
    <x v="2"/>
    <n v="8"/>
    <x v="8"/>
  </r>
  <r>
    <x v="643"/>
    <x v="1"/>
    <n v="4552"/>
    <n v="2469"/>
    <n v="9373"/>
    <n v="1181"/>
    <n v="902"/>
    <n v="105"/>
    <x v="0"/>
    <n v="7"/>
    <x v="6"/>
  </r>
  <r>
    <x v="668"/>
    <x v="2"/>
    <n v="10668"/>
    <n v="7959"/>
    <n v="8507"/>
    <n v="2332"/>
    <n v="377"/>
    <n v="102"/>
    <x v="0"/>
    <n v="8"/>
    <x v="7"/>
  </r>
  <r>
    <x v="669"/>
    <x v="2"/>
    <n v="3867"/>
    <n v="-1718"/>
    <n v="5756"/>
    <n v="3970"/>
    <n v="1615"/>
    <n v="69"/>
    <x v="1"/>
    <n v="8"/>
    <x v="7"/>
  </r>
  <r>
    <x v="670"/>
    <x v="2"/>
    <n v="4898"/>
    <n v="984"/>
    <n v="6546"/>
    <n v="2420"/>
    <n v="1494"/>
    <n v="115"/>
    <x v="4"/>
    <n v="1"/>
    <x v="10"/>
  </r>
  <r>
    <x v="593"/>
    <x v="3"/>
    <n v="7024"/>
    <n v="1719"/>
    <n v="9292"/>
    <n v="4063"/>
    <n v="1242"/>
    <n v="93"/>
    <x v="4"/>
    <n v="3"/>
    <x v="11"/>
  </r>
  <r>
    <x v="671"/>
    <x v="2"/>
    <n v="5346"/>
    <n v="-1033"/>
    <n v="5476"/>
    <n v="4470"/>
    <n v="1909"/>
    <n v="58"/>
    <x v="0"/>
    <n v="1"/>
    <x v="4"/>
  </r>
  <r>
    <x v="241"/>
    <x v="0"/>
    <n v="8386"/>
    <n v="5987"/>
    <n v="4235"/>
    <n v="1246"/>
    <n v="1153"/>
    <n v="118"/>
    <x v="4"/>
    <n v="6"/>
    <x v="1"/>
  </r>
  <r>
    <x v="274"/>
    <x v="0"/>
    <n v="6164"/>
    <n v="1849"/>
    <n v="5365"/>
    <n v="4063"/>
    <n v="252"/>
    <n v="61"/>
    <x v="3"/>
    <n v="3"/>
    <x v="3"/>
  </r>
  <r>
    <x v="642"/>
    <x v="1"/>
    <n v="2876"/>
    <n v="-2981"/>
    <n v="8069"/>
    <n v="4101"/>
    <n v="1756"/>
    <n v="56"/>
    <x v="3"/>
    <n v="6"/>
    <x v="1"/>
  </r>
  <r>
    <x v="672"/>
    <x v="0"/>
    <n v="8793"/>
    <n v="6161"/>
    <n v="9384"/>
    <n v="1044"/>
    <n v="1588"/>
    <n v="28"/>
    <x v="3"/>
    <n v="9"/>
    <x v="4"/>
  </r>
  <r>
    <x v="673"/>
    <x v="2"/>
    <n v="4568"/>
    <n v="829"/>
    <n v="9542"/>
    <n v="2772"/>
    <n v="967"/>
    <n v="103"/>
    <x v="1"/>
    <n v="7"/>
    <x v="3"/>
  </r>
  <r>
    <x v="674"/>
    <x v="0"/>
    <n v="2777"/>
    <n v="-418"/>
    <n v="4605"/>
    <n v="2757"/>
    <n v="438"/>
    <n v="93"/>
    <x v="3"/>
    <n v="7"/>
    <x v="5"/>
  </r>
  <r>
    <x v="192"/>
    <x v="2"/>
    <n v="3137"/>
    <n v="-1028"/>
    <n v="7279"/>
    <n v="2892"/>
    <n v="1273"/>
    <n v="92"/>
    <x v="2"/>
    <n v="10"/>
    <x v="3"/>
  </r>
  <r>
    <x v="675"/>
    <x v="2"/>
    <n v="4311"/>
    <n v="-569"/>
    <n v="7001"/>
    <n v="3225"/>
    <n v="1655"/>
    <n v="107"/>
    <x v="1"/>
    <n v="1"/>
    <x v="5"/>
  </r>
  <r>
    <x v="532"/>
    <x v="0"/>
    <n v="2508"/>
    <n v="-3234"/>
    <n v="6331"/>
    <n v="4034"/>
    <n v="1708"/>
    <n v="82"/>
    <x v="0"/>
    <n v="8"/>
    <x v="8"/>
  </r>
  <r>
    <x v="676"/>
    <x v="1"/>
    <n v="2585"/>
    <n v="-1083"/>
    <n v="5761"/>
    <n v="2131"/>
    <n v="1537"/>
    <n v="111"/>
    <x v="1"/>
    <n v="4"/>
    <x v="5"/>
  </r>
  <r>
    <x v="677"/>
    <x v="3"/>
    <n v="6208"/>
    <n v="1957"/>
    <n v="4259"/>
    <n v="3884"/>
    <n v="367"/>
    <n v="105"/>
    <x v="3"/>
    <n v="6"/>
    <x v="3"/>
  </r>
  <r>
    <x v="678"/>
    <x v="1"/>
    <n v="2500"/>
    <n v="-3137"/>
    <n v="4548"/>
    <n v="3872"/>
    <n v="1765"/>
    <n v="118"/>
    <x v="1"/>
    <n v="5"/>
    <x v="1"/>
  </r>
  <r>
    <x v="679"/>
    <x v="3"/>
    <n v="10406"/>
    <n v="8220"/>
    <n v="6216"/>
    <n v="1317"/>
    <n v="869"/>
    <n v="97"/>
    <x v="4"/>
    <n v="5"/>
    <x v="10"/>
  </r>
  <r>
    <x v="48"/>
    <x v="1"/>
    <n v="7896"/>
    <n v="5327"/>
    <n v="7301"/>
    <n v="989"/>
    <n v="1580"/>
    <n v="24"/>
    <x v="2"/>
    <n v="4"/>
    <x v="8"/>
  </r>
  <r>
    <x v="680"/>
    <x v="3"/>
    <n v="10969"/>
    <n v="8073"/>
    <n v="7304"/>
    <n v="2250"/>
    <n v="646"/>
    <n v="115"/>
    <x v="3"/>
    <n v="10"/>
    <x v="6"/>
  </r>
  <r>
    <x v="606"/>
    <x v="2"/>
    <n v="7683"/>
    <n v="2126"/>
    <n v="6966"/>
    <n v="3950"/>
    <n v="1607"/>
    <n v="109"/>
    <x v="1"/>
    <n v="10"/>
    <x v="8"/>
  </r>
  <r>
    <x v="681"/>
    <x v="1"/>
    <n v="7576"/>
    <n v="2163"/>
    <n v="5564"/>
    <n v="4878"/>
    <n v="535"/>
    <n v="21"/>
    <x v="0"/>
    <n v="4"/>
    <x v="11"/>
  </r>
  <r>
    <x v="154"/>
    <x v="2"/>
    <n v="11714"/>
    <n v="5826"/>
    <n v="6826"/>
    <n v="4631"/>
    <n v="1257"/>
    <n v="57"/>
    <x v="4"/>
    <n v="1"/>
    <x v="3"/>
  </r>
  <r>
    <x v="682"/>
    <x v="0"/>
    <n v="4626"/>
    <n v="-781"/>
    <n v="8408"/>
    <n v="3464"/>
    <n v="1943"/>
    <n v="114"/>
    <x v="1"/>
    <n v="8"/>
    <x v="9"/>
  </r>
  <r>
    <x v="387"/>
    <x v="3"/>
    <n v="3879"/>
    <n v="1193"/>
    <n v="6205"/>
    <n v="1151"/>
    <n v="1535"/>
    <n v="35"/>
    <x v="1"/>
    <n v="9"/>
    <x v="2"/>
  </r>
  <r>
    <x v="675"/>
    <x v="0"/>
    <n v="6842"/>
    <n v="1883"/>
    <n v="8495"/>
    <n v="3484"/>
    <n v="1475"/>
    <n v="66"/>
    <x v="2"/>
    <n v="7"/>
    <x v="5"/>
  </r>
  <r>
    <x v="683"/>
    <x v="3"/>
    <n v="6459"/>
    <n v="2665"/>
    <n v="4749"/>
    <n v="2396"/>
    <n v="1398"/>
    <n v="43"/>
    <x v="2"/>
    <n v="5"/>
    <x v="7"/>
  </r>
  <r>
    <x v="684"/>
    <x v="0"/>
    <n v="6525"/>
    <n v="3047"/>
    <n v="7027"/>
    <n v="1817"/>
    <n v="1661"/>
    <n v="61"/>
    <x v="1"/>
    <n v="6"/>
    <x v="10"/>
  </r>
  <r>
    <x v="685"/>
    <x v="2"/>
    <n v="9486"/>
    <n v="7053"/>
    <n v="4464"/>
    <n v="1672"/>
    <n v="761"/>
    <n v="19"/>
    <x v="1"/>
    <n v="1"/>
    <x v="7"/>
  </r>
  <r>
    <x v="686"/>
    <x v="3"/>
    <n v="10097"/>
    <n v="7264"/>
    <n v="8958"/>
    <n v="1703"/>
    <n v="1130"/>
    <n v="18"/>
    <x v="2"/>
    <n v="7"/>
    <x v="8"/>
  </r>
  <r>
    <x v="687"/>
    <x v="3"/>
    <n v="9805"/>
    <n v="7026"/>
    <n v="4537"/>
    <n v="1242"/>
    <n v="1537"/>
    <n v="32"/>
    <x v="1"/>
    <n v="4"/>
    <x v="11"/>
  </r>
  <r>
    <x v="688"/>
    <x v="3"/>
    <n v="8753"/>
    <n v="3628"/>
    <n v="8826"/>
    <n v="3339"/>
    <n v="1786"/>
    <n v="95"/>
    <x v="0"/>
    <n v="1"/>
    <x v="9"/>
  </r>
  <r>
    <x v="689"/>
    <x v="0"/>
    <n v="2630"/>
    <n v="-2097"/>
    <n v="5008"/>
    <n v="3699"/>
    <n v="1028"/>
    <n v="98"/>
    <x v="3"/>
    <n v="9"/>
    <x v="8"/>
  </r>
  <r>
    <x v="379"/>
    <x v="1"/>
    <n v="2370"/>
    <n v="-2342"/>
    <n v="5018"/>
    <n v="3611"/>
    <n v="1101"/>
    <n v="43"/>
    <x v="4"/>
    <n v="6"/>
    <x v="3"/>
  </r>
  <r>
    <x v="502"/>
    <x v="2"/>
    <n v="9607"/>
    <n v="5618"/>
    <n v="9997"/>
    <n v="3439"/>
    <n v="550"/>
    <n v="52"/>
    <x v="2"/>
    <n v="8"/>
    <x v="0"/>
  </r>
  <r>
    <x v="690"/>
    <x v="3"/>
    <n v="2309"/>
    <n v="-2431"/>
    <n v="8228"/>
    <n v="3800"/>
    <n v="940"/>
    <n v="109"/>
    <x v="3"/>
    <n v="5"/>
    <x v="10"/>
  </r>
  <r>
    <x v="691"/>
    <x v="3"/>
    <n v="10170"/>
    <n v="8088"/>
    <n v="8540"/>
    <n v="1237"/>
    <n v="845"/>
    <n v="31"/>
    <x v="0"/>
    <n v="2"/>
    <x v="5"/>
  </r>
  <r>
    <x v="326"/>
    <x v="2"/>
    <n v="7452"/>
    <n v="5445"/>
    <n v="5336"/>
    <n v="1402"/>
    <n v="605"/>
    <n v="37"/>
    <x v="4"/>
    <n v="9"/>
    <x v="8"/>
  </r>
  <r>
    <x v="636"/>
    <x v="3"/>
    <n v="9848"/>
    <n v="5554"/>
    <n v="9221"/>
    <n v="2967"/>
    <n v="1327"/>
    <n v="10"/>
    <x v="1"/>
    <n v="8"/>
    <x v="4"/>
  </r>
  <r>
    <x v="692"/>
    <x v="1"/>
    <n v="4255"/>
    <n v="1658"/>
    <n v="6480"/>
    <n v="1709"/>
    <n v="888"/>
    <n v="111"/>
    <x v="4"/>
    <n v="8"/>
    <x v="5"/>
  </r>
  <r>
    <x v="693"/>
    <x v="2"/>
    <n v="10562"/>
    <n v="7528"/>
    <n v="6482"/>
    <n v="1896"/>
    <n v="1138"/>
    <n v="75"/>
    <x v="1"/>
    <n v="6"/>
    <x v="1"/>
  </r>
  <r>
    <x v="694"/>
    <x v="0"/>
    <n v="9898"/>
    <n v="5526"/>
    <n v="8092"/>
    <n v="3805"/>
    <n v="567"/>
    <n v="19"/>
    <x v="3"/>
    <n v="5"/>
    <x v="0"/>
  </r>
  <r>
    <x v="695"/>
    <x v="3"/>
    <n v="11208"/>
    <n v="9551"/>
    <n v="5966"/>
    <n v="1388"/>
    <n v="269"/>
    <n v="41"/>
    <x v="1"/>
    <n v="5"/>
    <x v="2"/>
  </r>
  <r>
    <x v="462"/>
    <x v="2"/>
    <n v="11732"/>
    <n v="5998"/>
    <n v="6764"/>
    <n v="4870"/>
    <n v="864"/>
    <n v="43"/>
    <x v="1"/>
    <n v="10"/>
    <x v="6"/>
  </r>
  <r>
    <x v="502"/>
    <x v="0"/>
    <n v="4226"/>
    <n v="1146"/>
    <n v="8626"/>
    <n v="1615"/>
    <n v="1465"/>
    <n v="31"/>
    <x v="2"/>
    <n v="9"/>
    <x v="0"/>
  </r>
  <r>
    <x v="696"/>
    <x v="1"/>
    <n v="2618"/>
    <n v="-593"/>
    <n v="4242"/>
    <n v="2573"/>
    <n v="638"/>
    <n v="84"/>
    <x v="3"/>
    <n v="3"/>
    <x v="3"/>
  </r>
  <r>
    <x v="359"/>
    <x v="0"/>
    <n v="10564"/>
    <n v="6497"/>
    <n v="4667"/>
    <n v="3013"/>
    <n v="1054"/>
    <n v="106"/>
    <x v="0"/>
    <n v="2"/>
    <x v="11"/>
  </r>
  <r>
    <x v="697"/>
    <x v="1"/>
    <n v="11895"/>
    <n v="7661"/>
    <n v="6455"/>
    <n v="2697"/>
    <n v="1537"/>
    <n v="103"/>
    <x v="1"/>
    <n v="5"/>
    <x v="0"/>
  </r>
  <r>
    <x v="181"/>
    <x v="1"/>
    <n v="9670"/>
    <n v="4169"/>
    <n v="4148"/>
    <n v="3737"/>
    <n v="1764"/>
    <n v="15"/>
    <x v="1"/>
    <n v="4"/>
    <x v="4"/>
  </r>
  <r>
    <x v="698"/>
    <x v="1"/>
    <n v="2550"/>
    <n v="-3118"/>
    <n v="9024"/>
    <n v="4840"/>
    <n v="828"/>
    <n v="58"/>
    <x v="4"/>
    <n v="7"/>
    <x v="9"/>
  </r>
  <r>
    <x v="699"/>
    <x v="3"/>
    <n v="8497"/>
    <n v="3674"/>
    <n v="5810"/>
    <n v="4013"/>
    <n v="810"/>
    <n v="26"/>
    <x v="2"/>
    <n v="9"/>
    <x v="1"/>
  </r>
  <r>
    <x v="41"/>
    <x v="3"/>
    <n v="2380"/>
    <n v="-1918"/>
    <n v="8711"/>
    <n v="3781"/>
    <n v="517"/>
    <n v="51"/>
    <x v="1"/>
    <n v="2"/>
    <x v="8"/>
  </r>
  <r>
    <x v="562"/>
    <x v="0"/>
    <n v="3410"/>
    <n v="1216"/>
    <n v="9469"/>
    <n v="1162"/>
    <n v="1032"/>
    <n v="120"/>
    <x v="4"/>
    <n v="2"/>
    <x v="5"/>
  </r>
  <r>
    <x v="304"/>
    <x v="1"/>
    <n v="2127"/>
    <n v="500"/>
    <n v="5107"/>
    <n v="1148"/>
    <n v="479"/>
    <n v="56"/>
    <x v="2"/>
    <n v="9"/>
    <x v="3"/>
  </r>
  <r>
    <x v="700"/>
    <x v="2"/>
    <n v="5225"/>
    <n v="-591"/>
    <n v="7734"/>
    <n v="4667"/>
    <n v="1149"/>
    <n v="13"/>
    <x v="3"/>
    <n v="8"/>
    <x v="2"/>
  </r>
  <r>
    <x v="163"/>
    <x v="3"/>
    <n v="3870"/>
    <n v="862"/>
    <n v="6903"/>
    <n v="1513"/>
    <n v="1495"/>
    <n v="67"/>
    <x v="4"/>
    <n v="3"/>
    <x v="0"/>
  </r>
  <r>
    <x v="46"/>
    <x v="0"/>
    <n v="6455"/>
    <n v="2432"/>
    <n v="6456"/>
    <n v="2749"/>
    <n v="1274"/>
    <n v="46"/>
    <x v="1"/>
    <n v="5"/>
    <x v="3"/>
  </r>
  <r>
    <x v="701"/>
    <x v="3"/>
    <n v="7149"/>
    <n v="5112"/>
    <n v="5574"/>
    <n v="1418"/>
    <n v="619"/>
    <n v="71"/>
    <x v="3"/>
    <n v="1"/>
    <x v="8"/>
  </r>
  <r>
    <x v="702"/>
    <x v="1"/>
    <n v="2807"/>
    <n v="-1840"/>
    <n v="8638"/>
    <n v="3656"/>
    <n v="991"/>
    <n v="19"/>
    <x v="4"/>
    <n v="9"/>
    <x v="4"/>
  </r>
  <r>
    <x v="162"/>
    <x v="1"/>
    <n v="6051"/>
    <n v="2901"/>
    <n v="6353"/>
    <n v="1611"/>
    <n v="1539"/>
    <n v="65"/>
    <x v="2"/>
    <n v="9"/>
    <x v="11"/>
  </r>
  <r>
    <x v="97"/>
    <x v="0"/>
    <n v="7729"/>
    <n v="1854"/>
    <n v="4055"/>
    <n v="4389"/>
    <n v="1486"/>
    <n v="27"/>
    <x v="3"/>
    <n v="6"/>
    <x v="0"/>
  </r>
  <r>
    <x v="288"/>
    <x v="2"/>
    <n v="8431"/>
    <n v="4060"/>
    <n v="4249"/>
    <n v="2698"/>
    <n v="1673"/>
    <n v="26"/>
    <x v="4"/>
    <n v="4"/>
    <x v="5"/>
  </r>
  <r>
    <x v="703"/>
    <x v="0"/>
    <n v="3329"/>
    <n v="242"/>
    <n v="6966"/>
    <n v="2630"/>
    <n v="457"/>
    <n v="103"/>
    <x v="3"/>
    <n v="5"/>
    <x v="2"/>
  </r>
  <r>
    <x v="704"/>
    <x v="0"/>
    <n v="11195"/>
    <n v="7855"/>
    <n v="9915"/>
    <n v="1978"/>
    <n v="1362"/>
    <n v="12"/>
    <x v="4"/>
    <n v="3"/>
    <x v="2"/>
  </r>
  <r>
    <x v="705"/>
    <x v="2"/>
    <n v="5316"/>
    <n v="958"/>
    <n v="6240"/>
    <n v="2988"/>
    <n v="1370"/>
    <n v="16"/>
    <x v="4"/>
    <n v="8"/>
    <x v="10"/>
  </r>
  <r>
    <x v="706"/>
    <x v="3"/>
    <n v="10664"/>
    <n v="7384"/>
    <n v="6155"/>
    <n v="2244"/>
    <n v="1036"/>
    <n v="99"/>
    <x v="2"/>
    <n v="5"/>
    <x v="1"/>
  </r>
  <r>
    <x v="307"/>
    <x v="1"/>
    <n v="3324"/>
    <n v="-1942"/>
    <n v="5297"/>
    <n v="3746"/>
    <n v="1520"/>
    <n v="11"/>
    <x v="4"/>
    <n v="7"/>
    <x v="4"/>
  </r>
  <r>
    <x v="707"/>
    <x v="2"/>
    <n v="9668"/>
    <n v="7519"/>
    <n v="5664"/>
    <n v="1240"/>
    <n v="909"/>
    <n v="13"/>
    <x v="0"/>
    <n v="3"/>
    <x v="7"/>
  </r>
  <r>
    <x v="406"/>
    <x v="2"/>
    <n v="8671"/>
    <n v="4088"/>
    <n v="9829"/>
    <n v="3511"/>
    <n v="1072"/>
    <n v="46"/>
    <x v="4"/>
    <n v="4"/>
    <x v="6"/>
  </r>
  <r>
    <x v="58"/>
    <x v="2"/>
    <n v="7169"/>
    <n v="5591"/>
    <n v="7779"/>
    <n v="1011"/>
    <n v="567"/>
    <n v="97"/>
    <x v="3"/>
    <n v="10"/>
    <x v="6"/>
  </r>
  <r>
    <x v="708"/>
    <x v="3"/>
    <n v="7960"/>
    <n v="5039"/>
    <n v="5606"/>
    <n v="1525"/>
    <n v="1396"/>
    <n v="106"/>
    <x v="2"/>
    <n v="1"/>
    <x v="1"/>
  </r>
  <r>
    <x v="709"/>
    <x v="0"/>
    <n v="2988"/>
    <n v="572"/>
    <n v="6737"/>
    <n v="1026"/>
    <n v="1390"/>
    <n v="110"/>
    <x v="3"/>
    <n v="1"/>
    <x v="3"/>
  </r>
  <r>
    <x v="710"/>
    <x v="0"/>
    <n v="3763"/>
    <n v="-2102"/>
    <n v="4335"/>
    <n v="4502"/>
    <n v="1363"/>
    <n v="93"/>
    <x v="1"/>
    <n v="6"/>
    <x v="11"/>
  </r>
  <r>
    <x v="435"/>
    <x v="2"/>
    <n v="8199"/>
    <n v="6062"/>
    <n v="7466"/>
    <n v="1174"/>
    <n v="963"/>
    <n v="101"/>
    <x v="4"/>
    <n v="3"/>
    <x v="0"/>
  </r>
  <r>
    <x v="711"/>
    <x v="3"/>
    <n v="7081"/>
    <n v="4660"/>
    <n v="4545"/>
    <n v="1058"/>
    <n v="1363"/>
    <n v="21"/>
    <x v="3"/>
    <n v="1"/>
    <x v="4"/>
  </r>
  <r>
    <x v="712"/>
    <x v="1"/>
    <n v="6056"/>
    <n v="2614"/>
    <n v="9006"/>
    <n v="1499"/>
    <n v="1943"/>
    <n v="92"/>
    <x v="0"/>
    <n v="3"/>
    <x v="6"/>
  </r>
  <r>
    <x v="713"/>
    <x v="2"/>
    <n v="5444"/>
    <n v="3728"/>
    <n v="8319"/>
    <n v="885"/>
    <n v="831"/>
    <n v="82"/>
    <x v="2"/>
    <n v="9"/>
    <x v="7"/>
  </r>
  <r>
    <x v="714"/>
    <x v="3"/>
    <n v="4974"/>
    <n v="-67"/>
    <n v="9517"/>
    <n v="4069"/>
    <n v="972"/>
    <n v="87"/>
    <x v="3"/>
    <n v="9"/>
    <x v="11"/>
  </r>
  <r>
    <x v="715"/>
    <x v="0"/>
    <n v="10023"/>
    <n v="6877"/>
    <n v="4707"/>
    <n v="1159"/>
    <n v="1987"/>
    <n v="96"/>
    <x v="0"/>
    <n v="6"/>
    <x v="6"/>
  </r>
  <r>
    <x v="716"/>
    <x v="1"/>
    <n v="11818"/>
    <n v="5792"/>
    <n v="4704"/>
    <n v="4109"/>
    <n v="1917"/>
    <n v="87"/>
    <x v="2"/>
    <n v="3"/>
    <x v="2"/>
  </r>
  <r>
    <x v="531"/>
    <x v="2"/>
    <n v="6004"/>
    <n v="-470"/>
    <n v="6372"/>
    <n v="4501"/>
    <n v="1973"/>
    <n v="16"/>
    <x v="0"/>
    <n v="9"/>
    <x v="1"/>
  </r>
  <r>
    <x v="75"/>
    <x v="1"/>
    <n v="7346"/>
    <n v="4717"/>
    <n v="4493"/>
    <n v="905"/>
    <n v="1724"/>
    <n v="57"/>
    <x v="3"/>
    <n v="2"/>
    <x v="0"/>
  </r>
  <r>
    <x v="717"/>
    <x v="3"/>
    <n v="5424"/>
    <n v="428"/>
    <n v="8779"/>
    <n v="3810"/>
    <n v="1186"/>
    <n v="91"/>
    <x v="0"/>
    <n v="4"/>
    <x v="2"/>
  </r>
  <r>
    <x v="171"/>
    <x v="1"/>
    <n v="8420"/>
    <n v="5097"/>
    <n v="6247"/>
    <n v="2877"/>
    <n v="446"/>
    <n v="43"/>
    <x v="4"/>
    <n v="5"/>
    <x v="3"/>
  </r>
  <r>
    <x v="718"/>
    <x v="0"/>
    <n v="10691"/>
    <n v="5694"/>
    <n v="4263"/>
    <n v="3702"/>
    <n v="1295"/>
    <n v="29"/>
    <x v="0"/>
    <n v="8"/>
    <x v="0"/>
  </r>
  <r>
    <x v="719"/>
    <x v="3"/>
    <n v="8753"/>
    <n v="4679"/>
    <n v="6912"/>
    <n v="3016"/>
    <n v="1058"/>
    <n v="97"/>
    <x v="3"/>
    <n v="7"/>
    <x v="0"/>
  </r>
  <r>
    <x v="337"/>
    <x v="1"/>
    <n v="9074"/>
    <n v="4769"/>
    <n v="5509"/>
    <n v="3792"/>
    <n v="513"/>
    <n v="118"/>
    <x v="0"/>
    <n v="4"/>
    <x v="6"/>
  </r>
  <r>
    <x v="402"/>
    <x v="1"/>
    <n v="11681"/>
    <n v="6682"/>
    <n v="4515"/>
    <n v="4364"/>
    <n v="635"/>
    <n v="73"/>
    <x v="2"/>
    <n v="1"/>
    <x v="5"/>
  </r>
  <r>
    <x v="226"/>
    <x v="2"/>
    <n v="6377"/>
    <n v="3909"/>
    <n v="4137"/>
    <n v="1238"/>
    <n v="1230"/>
    <n v="116"/>
    <x v="0"/>
    <n v="10"/>
    <x v="8"/>
  </r>
  <r>
    <x v="414"/>
    <x v="0"/>
    <n v="5294"/>
    <n v="748"/>
    <n v="7983"/>
    <n v="3250"/>
    <n v="1296"/>
    <n v="75"/>
    <x v="4"/>
    <n v="8"/>
    <x v="10"/>
  </r>
  <r>
    <x v="720"/>
    <x v="2"/>
    <n v="8859"/>
    <n v="5116"/>
    <n v="9664"/>
    <n v="2656"/>
    <n v="1087"/>
    <n v="95"/>
    <x v="0"/>
    <n v="5"/>
    <x v="5"/>
  </r>
  <r>
    <x v="340"/>
    <x v="1"/>
    <n v="11456"/>
    <n v="5377"/>
    <n v="4034"/>
    <n v="4474"/>
    <n v="1605"/>
    <n v="73"/>
    <x v="2"/>
    <n v="6"/>
    <x v="3"/>
  </r>
  <r>
    <x v="721"/>
    <x v="1"/>
    <n v="2092"/>
    <n v="-2735"/>
    <n v="9522"/>
    <n v="4161"/>
    <n v="666"/>
    <n v="14"/>
    <x v="4"/>
    <n v="6"/>
    <x v="11"/>
  </r>
  <r>
    <x v="722"/>
    <x v="0"/>
    <n v="10891"/>
    <n v="6152"/>
    <n v="8039"/>
    <n v="3271"/>
    <n v="1468"/>
    <n v="81"/>
    <x v="1"/>
    <n v="5"/>
    <x v="5"/>
  </r>
  <r>
    <x v="150"/>
    <x v="0"/>
    <n v="8386"/>
    <n v="5642"/>
    <n v="8346"/>
    <n v="1729"/>
    <n v="1015"/>
    <n v="79"/>
    <x v="0"/>
    <n v="7"/>
    <x v="5"/>
  </r>
  <r>
    <x v="293"/>
    <x v="3"/>
    <n v="6835"/>
    <n v="1757"/>
    <n v="8297"/>
    <n v="4545"/>
    <n v="533"/>
    <n v="17"/>
    <x v="3"/>
    <n v="1"/>
    <x v="11"/>
  </r>
  <r>
    <x v="723"/>
    <x v="1"/>
    <n v="11375"/>
    <n v="8141"/>
    <n v="7666"/>
    <n v="1595"/>
    <n v="1639"/>
    <n v="119"/>
    <x v="4"/>
    <n v="4"/>
    <x v="8"/>
  </r>
  <r>
    <x v="724"/>
    <x v="0"/>
    <n v="3846"/>
    <n v="-342"/>
    <n v="4026"/>
    <n v="2906"/>
    <n v="1282"/>
    <n v="81"/>
    <x v="1"/>
    <n v="2"/>
    <x v="3"/>
  </r>
  <r>
    <x v="725"/>
    <x v="1"/>
    <n v="10481"/>
    <n v="5276"/>
    <n v="9233"/>
    <n v="4300"/>
    <n v="905"/>
    <n v="43"/>
    <x v="4"/>
    <n v="8"/>
    <x v="5"/>
  </r>
  <r>
    <x v="726"/>
    <x v="2"/>
    <n v="2480"/>
    <n v="-2707"/>
    <n v="6918"/>
    <n v="3562"/>
    <n v="1625"/>
    <n v="51"/>
    <x v="2"/>
    <n v="7"/>
    <x v="4"/>
  </r>
  <r>
    <x v="727"/>
    <x v="0"/>
    <n v="2655"/>
    <n v="-2420"/>
    <n v="7356"/>
    <n v="3275"/>
    <n v="1800"/>
    <n v="11"/>
    <x v="0"/>
    <n v="1"/>
    <x v="1"/>
  </r>
  <r>
    <x v="389"/>
    <x v="1"/>
    <n v="7559"/>
    <n v="4009"/>
    <n v="9833"/>
    <n v="2957"/>
    <n v="593"/>
    <n v="44"/>
    <x v="2"/>
    <n v="5"/>
    <x v="10"/>
  </r>
  <r>
    <x v="228"/>
    <x v="0"/>
    <n v="3127"/>
    <n v="1067"/>
    <n v="4412"/>
    <n v="1760"/>
    <n v="300"/>
    <n v="95"/>
    <x v="4"/>
    <n v="7"/>
    <x v="9"/>
  </r>
  <r>
    <x v="86"/>
    <x v="1"/>
    <n v="7463"/>
    <n v="4367"/>
    <n v="8245"/>
    <n v="2275"/>
    <n v="821"/>
    <n v="104"/>
    <x v="3"/>
    <n v="7"/>
    <x v="2"/>
  </r>
  <r>
    <x v="718"/>
    <x v="0"/>
    <n v="3785"/>
    <n v="2546"/>
    <n v="7270"/>
    <n v="907"/>
    <n v="332"/>
    <n v="118"/>
    <x v="3"/>
    <n v="4"/>
    <x v="0"/>
  </r>
  <r>
    <x v="715"/>
    <x v="0"/>
    <n v="10666"/>
    <n v="4655"/>
    <n v="9216"/>
    <n v="4017"/>
    <n v="1994"/>
    <n v="105"/>
    <x v="2"/>
    <n v="10"/>
    <x v="6"/>
  </r>
  <r>
    <x v="728"/>
    <x v="3"/>
    <n v="3128"/>
    <n v="594"/>
    <n v="5271"/>
    <n v="2233"/>
    <n v="301"/>
    <n v="53"/>
    <x v="0"/>
    <n v="9"/>
    <x v="11"/>
  </r>
  <r>
    <x v="47"/>
    <x v="3"/>
    <n v="10209"/>
    <n v="8521"/>
    <n v="9599"/>
    <n v="834"/>
    <n v="854"/>
    <n v="91"/>
    <x v="1"/>
    <n v="6"/>
    <x v="0"/>
  </r>
  <r>
    <x v="297"/>
    <x v="1"/>
    <n v="2948"/>
    <n v="395"/>
    <n v="4031"/>
    <n v="1965"/>
    <n v="588"/>
    <n v="92"/>
    <x v="2"/>
    <n v="10"/>
    <x v="3"/>
  </r>
  <r>
    <x v="729"/>
    <x v="3"/>
    <n v="5817"/>
    <n v="106"/>
    <n v="7304"/>
    <n v="4418"/>
    <n v="1293"/>
    <n v="23"/>
    <x v="3"/>
    <n v="8"/>
    <x v="9"/>
  </r>
  <r>
    <x v="97"/>
    <x v="3"/>
    <n v="3719"/>
    <n v="-427"/>
    <n v="9490"/>
    <n v="2607"/>
    <n v="1539"/>
    <n v="92"/>
    <x v="4"/>
    <n v="2"/>
    <x v="0"/>
  </r>
  <r>
    <x v="304"/>
    <x v="2"/>
    <n v="5917"/>
    <n v="827"/>
    <n v="8406"/>
    <n v="3805"/>
    <n v="1285"/>
    <n v="61"/>
    <x v="1"/>
    <n v="10"/>
    <x v="3"/>
  </r>
  <r>
    <x v="373"/>
    <x v="2"/>
    <n v="4164"/>
    <n v="-741"/>
    <n v="5714"/>
    <n v="3660"/>
    <n v="1245"/>
    <n v="60"/>
    <x v="0"/>
    <n v="4"/>
    <x v="8"/>
  </r>
  <r>
    <x v="63"/>
    <x v="1"/>
    <n v="10580"/>
    <n v="7330"/>
    <n v="8121"/>
    <n v="3030"/>
    <n v="220"/>
    <n v="86"/>
    <x v="2"/>
    <n v="5"/>
    <x v="8"/>
  </r>
  <r>
    <x v="730"/>
    <x v="3"/>
    <n v="7960"/>
    <n v="3684"/>
    <n v="9818"/>
    <n v="3029"/>
    <n v="1247"/>
    <n v="12"/>
    <x v="2"/>
    <n v="7"/>
    <x v="1"/>
  </r>
  <r>
    <x v="324"/>
    <x v="2"/>
    <n v="4130"/>
    <n v="-1347"/>
    <n v="8570"/>
    <n v="4476"/>
    <n v="1001"/>
    <n v="103"/>
    <x v="3"/>
    <n v="10"/>
    <x v="11"/>
  </r>
  <r>
    <x v="731"/>
    <x v="2"/>
    <n v="3584"/>
    <n v="-2220"/>
    <n v="4405"/>
    <n v="4406"/>
    <n v="1398"/>
    <n v="119"/>
    <x v="4"/>
    <n v="3"/>
    <x v="4"/>
  </r>
  <r>
    <x v="732"/>
    <x v="3"/>
    <n v="3079"/>
    <n v="-3201"/>
    <n v="4206"/>
    <n v="4653"/>
    <n v="1627"/>
    <n v="34"/>
    <x v="2"/>
    <n v="7"/>
    <x v="0"/>
  </r>
  <r>
    <x v="141"/>
    <x v="1"/>
    <n v="9744"/>
    <n v="7853"/>
    <n v="7460"/>
    <n v="1070"/>
    <n v="821"/>
    <n v="27"/>
    <x v="1"/>
    <n v="1"/>
    <x v="9"/>
  </r>
  <r>
    <x v="733"/>
    <x v="2"/>
    <n v="7417"/>
    <n v="3042"/>
    <n v="9378"/>
    <n v="4130"/>
    <n v="245"/>
    <n v="67"/>
    <x v="1"/>
    <n v="4"/>
    <x v="10"/>
  </r>
  <r>
    <x v="649"/>
    <x v="0"/>
    <n v="6513"/>
    <n v="492"/>
    <n v="4014"/>
    <n v="4394"/>
    <n v="1627"/>
    <n v="88"/>
    <x v="0"/>
    <n v="1"/>
    <x v="11"/>
  </r>
  <r>
    <x v="108"/>
    <x v="0"/>
    <n v="8043"/>
    <n v="3792"/>
    <n v="7791"/>
    <n v="2881"/>
    <n v="1370"/>
    <n v="111"/>
    <x v="0"/>
    <n v="1"/>
    <x v="0"/>
  </r>
  <r>
    <x v="734"/>
    <x v="3"/>
    <n v="2286"/>
    <n v="-2671"/>
    <n v="5799"/>
    <n v="4576"/>
    <n v="381"/>
    <n v="106"/>
    <x v="3"/>
    <n v="4"/>
    <x v="0"/>
  </r>
  <r>
    <x v="206"/>
    <x v="1"/>
    <n v="11936"/>
    <n v="8855"/>
    <n v="9625"/>
    <n v="1654"/>
    <n v="1427"/>
    <n v="119"/>
    <x v="0"/>
    <n v="10"/>
    <x v="7"/>
  </r>
  <r>
    <x v="735"/>
    <x v="3"/>
    <n v="2028"/>
    <n v="-4214"/>
    <n v="8318"/>
    <n v="4752"/>
    <n v="1490"/>
    <n v="40"/>
    <x v="0"/>
    <n v="7"/>
    <x v="8"/>
  </r>
  <r>
    <x v="736"/>
    <x v="2"/>
    <n v="7923"/>
    <n v="1412"/>
    <n v="8201"/>
    <n v="4618"/>
    <n v="1893"/>
    <n v="75"/>
    <x v="1"/>
    <n v="5"/>
    <x v="9"/>
  </r>
  <r>
    <x v="381"/>
    <x v="3"/>
    <n v="11391"/>
    <n v="6429"/>
    <n v="7224"/>
    <n v="3920"/>
    <n v="1042"/>
    <n v="10"/>
    <x v="3"/>
    <n v="9"/>
    <x v="1"/>
  </r>
  <r>
    <x v="737"/>
    <x v="1"/>
    <n v="4368"/>
    <n v="2013"/>
    <n v="6863"/>
    <n v="1854"/>
    <n v="501"/>
    <n v="33"/>
    <x v="1"/>
    <n v="5"/>
    <x v="4"/>
  </r>
  <r>
    <x v="635"/>
    <x v="3"/>
    <n v="11726"/>
    <n v="9376"/>
    <n v="9350"/>
    <n v="1687"/>
    <n v="663"/>
    <n v="55"/>
    <x v="1"/>
    <n v="9"/>
    <x v="10"/>
  </r>
  <r>
    <x v="738"/>
    <x v="1"/>
    <n v="4930"/>
    <n v="-171"/>
    <n v="4081"/>
    <n v="3454"/>
    <n v="1647"/>
    <n v="87"/>
    <x v="4"/>
    <n v="7"/>
    <x v="2"/>
  </r>
  <r>
    <x v="487"/>
    <x v="3"/>
    <n v="9119"/>
    <n v="6386"/>
    <n v="5694"/>
    <n v="2242"/>
    <n v="491"/>
    <n v="111"/>
    <x v="4"/>
    <n v="10"/>
    <x v="8"/>
  </r>
  <r>
    <x v="569"/>
    <x v="3"/>
    <n v="9933"/>
    <n v="8553"/>
    <n v="4671"/>
    <n v="887"/>
    <n v="493"/>
    <n v="120"/>
    <x v="1"/>
    <n v="9"/>
    <x v="4"/>
  </r>
  <r>
    <x v="739"/>
    <x v="3"/>
    <n v="11249"/>
    <n v="9870"/>
    <n v="5633"/>
    <n v="1034"/>
    <n v="345"/>
    <n v="86"/>
    <x v="3"/>
    <n v="1"/>
    <x v="8"/>
  </r>
  <r>
    <x v="740"/>
    <x v="3"/>
    <n v="8295"/>
    <n v="2303"/>
    <n v="4304"/>
    <n v="4703"/>
    <n v="1289"/>
    <n v="81"/>
    <x v="2"/>
    <n v="8"/>
    <x v="10"/>
  </r>
  <r>
    <x v="273"/>
    <x v="3"/>
    <n v="7137"/>
    <n v="5466"/>
    <n v="9623"/>
    <n v="864"/>
    <n v="807"/>
    <n v="114"/>
    <x v="0"/>
    <n v="9"/>
    <x v="1"/>
  </r>
  <r>
    <x v="724"/>
    <x v="3"/>
    <n v="5532"/>
    <n v="1501"/>
    <n v="7410"/>
    <n v="2551"/>
    <n v="1480"/>
    <n v="93"/>
    <x v="2"/>
    <n v="9"/>
    <x v="3"/>
  </r>
  <r>
    <x v="741"/>
    <x v="1"/>
    <n v="4956"/>
    <n v="3045"/>
    <n v="5224"/>
    <n v="1347"/>
    <n v="564"/>
    <n v="37"/>
    <x v="2"/>
    <n v="2"/>
    <x v="6"/>
  </r>
  <r>
    <x v="154"/>
    <x v="3"/>
    <n v="9850"/>
    <n v="3864"/>
    <n v="4366"/>
    <n v="4764"/>
    <n v="1222"/>
    <n v="113"/>
    <x v="4"/>
    <n v="8"/>
    <x v="3"/>
  </r>
  <r>
    <x v="742"/>
    <x v="3"/>
    <n v="9667"/>
    <n v="7056"/>
    <n v="9450"/>
    <n v="1227"/>
    <n v="1384"/>
    <n v="42"/>
    <x v="2"/>
    <n v="1"/>
    <x v="0"/>
  </r>
  <r>
    <x v="743"/>
    <x v="3"/>
    <n v="9535"/>
    <n v="7043"/>
    <n v="6025"/>
    <n v="1233"/>
    <n v="1259"/>
    <n v="104"/>
    <x v="3"/>
    <n v="1"/>
    <x v="8"/>
  </r>
  <r>
    <x v="744"/>
    <x v="3"/>
    <n v="3869"/>
    <n v="1567"/>
    <n v="7694"/>
    <n v="1000"/>
    <n v="1302"/>
    <n v="17"/>
    <x v="1"/>
    <n v="1"/>
    <x v="4"/>
  </r>
  <r>
    <x v="745"/>
    <x v="0"/>
    <n v="2095"/>
    <n v="-928"/>
    <n v="9343"/>
    <n v="2548"/>
    <n v="475"/>
    <n v="78"/>
    <x v="0"/>
    <n v="3"/>
    <x v="3"/>
  </r>
  <r>
    <x v="746"/>
    <x v="3"/>
    <n v="10417"/>
    <n v="5516"/>
    <n v="9168"/>
    <n v="4281"/>
    <n v="620"/>
    <n v="49"/>
    <x v="4"/>
    <n v="7"/>
    <x v="3"/>
  </r>
  <r>
    <x v="608"/>
    <x v="1"/>
    <n v="6536"/>
    <n v="2191"/>
    <n v="6526"/>
    <n v="3347"/>
    <n v="998"/>
    <n v="57"/>
    <x v="3"/>
    <n v="6"/>
    <x v="4"/>
  </r>
  <r>
    <x v="383"/>
    <x v="0"/>
    <n v="5724"/>
    <n v="3249"/>
    <n v="8619"/>
    <n v="1044"/>
    <n v="1431"/>
    <n v="118"/>
    <x v="2"/>
    <n v="9"/>
    <x v="3"/>
  </r>
  <r>
    <x v="310"/>
    <x v="0"/>
    <n v="3136"/>
    <n v="-2848"/>
    <n v="4451"/>
    <n v="4190"/>
    <n v="1794"/>
    <n v="32"/>
    <x v="0"/>
    <n v="1"/>
    <x v="4"/>
  </r>
  <r>
    <x v="212"/>
    <x v="1"/>
    <n v="7224"/>
    <n v="4779"/>
    <n v="8906"/>
    <n v="1234"/>
    <n v="1211"/>
    <n v="87"/>
    <x v="0"/>
    <n v="9"/>
    <x v="10"/>
  </r>
  <r>
    <x v="266"/>
    <x v="3"/>
    <n v="3117"/>
    <n v="809"/>
    <n v="5953"/>
    <n v="952"/>
    <n v="1356"/>
    <n v="78"/>
    <x v="3"/>
    <n v="8"/>
    <x v="1"/>
  </r>
  <r>
    <x v="502"/>
    <x v="2"/>
    <n v="5055"/>
    <n v="2939"/>
    <n v="9430"/>
    <n v="806"/>
    <n v="1310"/>
    <n v="115"/>
    <x v="0"/>
    <n v="10"/>
    <x v="0"/>
  </r>
  <r>
    <x v="368"/>
    <x v="2"/>
    <n v="11748"/>
    <n v="8843"/>
    <n v="9209"/>
    <n v="1841"/>
    <n v="1064"/>
    <n v="11"/>
    <x v="2"/>
    <n v="2"/>
    <x v="8"/>
  </r>
  <r>
    <x v="8"/>
    <x v="1"/>
    <n v="2241"/>
    <n v="-2403"/>
    <n v="4767"/>
    <n v="3044"/>
    <n v="1600"/>
    <n v="25"/>
    <x v="0"/>
    <n v="2"/>
    <x v="7"/>
  </r>
  <r>
    <x v="207"/>
    <x v="1"/>
    <n v="6623"/>
    <n v="4136"/>
    <n v="4508"/>
    <n v="1292"/>
    <n v="1195"/>
    <n v="84"/>
    <x v="2"/>
    <n v="9"/>
    <x v="3"/>
  </r>
  <r>
    <x v="443"/>
    <x v="1"/>
    <n v="5444"/>
    <n v="3516"/>
    <n v="8583"/>
    <n v="878"/>
    <n v="1050"/>
    <n v="69"/>
    <x v="4"/>
    <n v="5"/>
    <x v="3"/>
  </r>
  <r>
    <x v="508"/>
    <x v="0"/>
    <n v="6722"/>
    <n v="2859"/>
    <n v="8495"/>
    <n v="1949"/>
    <n v="1914"/>
    <n v="71"/>
    <x v="1"/>
    <n v="6"/>
    <x v="2"/>
  </r>
  <r>
    <x v="747"/>
    <x v="3"/>
    <n v="2034"/>
    <n v="-2832"/>
    <n v="5840"/>
    <n v="4461"/>
    <n v="405"/>
    <n v="87"/>
    <x v="3"/>
    <n v="3"/>
    <x v="0"/>
  </r>
  <r>
    <x v="748"/>
    <x v="2"/>
    <n v="11301"/>
    <n v="5864"/>
    <n v="9311"/>
    <n v="3669"/>
    <n v="1768"/>
    <n v="48"/>
    <x v="1"/>
    <n v="1"/>
    <x v="11"/>
  </r>
  <r>
    <x v="53"/>
    <x v="2"/>
    <n v="7837"/>
    <n v="3833"/>
    <n v="6901"/>
    <n v="3450"/>
    <n v="554"/>
    <n v="92"/>
    <x v="3"/>
    <n v="7"/>
    <x v="5"/>
  </r>
  <r>
    <x v="749"/>
    <x v="1"/>
    <n v="10335"/>
    <n v="5944"/>
    <n v="5246"/>
    <n v="3451"/>
    <n v="940"/>
    <n v="88"/>
    <x v="4"/>
    <n v="9"/>
    <x v="8"/>
  </r>
  <r>
    <x v="93"/>
    <x v="2"/>
    <n v="7910"/>
    <n v="2580"/>
    <n v="7089"/>
    <n v="4957"/>
    <n v="373"/>
    <n v="37"/>
    <x v="1"/>
    <n v="1"/>
    <x v="0"/>
  </r>
  <r>
    <x v="750"/>
    <x v="3"/>
    <n v="7366"/>
    <n v="1349"/>
    <n v="4298"/>
    <n v="4548"/>
    <n v="1469"/>
    <n v="20"/>
    <x v="2"/>
    <n v="9"/>
    <x v="5"/>
  </r>
  <r>
    <x v="30"/>
    <x v="0"/>
    <n v="11565"/>
    <n v="8281"/>
    <n v="7828"/>
    <n v="1895"/>
    <n v="1389"/>
    <n v="24"/>
    <x v="0"/>
    <n v="8"/>
    <x v="0"/>
  </r>
  <r>
    <x v="410"/>
    <x v="3"/>
    <n v="8754"/>
    <n v="3018"/>
    <n v="4750"/>
    <n v="3873"/>
    <n v="1863"/>
    <n v="28"/>
    <x v="2"/>
    <n v="7"/>
    <x v="8"/>
  </r>
  <r>
    <x v="20"/>
    <x v="2"/>
    <n v="11691"/>
    <n v="7032"/>
    <n v="8249"/>
    <n v="4158"/>
    <n v="501"/>
    <n v="28"/>
    <x v="2"/>
    <n v="6"/>
    <x v="4"/>
  </r>
  <r>
    <x v="396"/>
    <x v="1"/>
    <n v="6358"/>
    <n v="3207"/>
    <n v="8378"/>
    <n v="1674"/>
    <n v="1477"/>
    <n v="39"/>
    <x v="3"/>
    <n v="10"/>
    <x v="10"/>
  </r>
  <r>
    <x v="751"/>
    <x v="1"/>
    <n v="3132"/>
    <n v="-1280"/>
    <n v="9166"/>
    <n v="2444"/>
    <n v="1968"/>
    <n v="113"/>
    <x v="0"/>
    <n v="3"/>
    <x v="4"/>
  </r>
  <r>
    <x v="752"/>
    <x v="3"/>
    <n v="10754"/>
    <n v="5114"/>
    <n v="5903"/>
    <n v="4781"/>
    <n v="859"/>
    <n v="89"/>
    <x v="0"/>
    <n v="8"/>
    <x v="4"/>
  </r>
  <r>
    <x v="713"/>
    <x v="1"/>
    <n v="4887"/>
    <n v="218"/>
    <n v="9597"/>
    <n v="4202"/>
    <n v="467"/>
    <n v="76"/>
    <x v="2"/>
    <n v="4"/>
    <x v="7"/>
  </r>
  <r>
    <x v="160"/>
    <x v="2"/>
    <n v="6099"/>
    <n v="609"/>
    <n v="9048"/>
    <n v="4226"/>
    <n v="1264"/>
    <n v="59"/>
    <x v="2"/>
    <n v="5"/>
    <x v="4"/>
  </r>
  <r>
    <x v="753"/>
    <x v="2"/>
    <n v="9420"/>
    <n v="4111"/>
    <n v="7040"/>
    <n v="4471"/>
    <n v="838"/>
    <n v="78"/>
    <x v="1"/>
    <n v="6"/>
    <x v="2"/>
  </r>
  <r>
    <x v="754"/>
    <x v="1"/>
    <n v="4386"/>
    <n v="-1104"/>
    <n v="5347"/>
    <n v="4152"/>
    <n v="1338"/>
    <n v="46"/>
    <x v="4"/>
    <n v="2"/>
    <x v="6"/>
  </r>
  <r>
    <x v="755"/>
    <x v="3"/>
    <n v="9789"/>
    <n v="7212"/>
    <n v="4270"/>
    <n v="1301"/>
    <n v="1276"/>
    <n v="18"/>
    <x v="0"/>
    <n v="3"/>
    <x v="4"/>
  </r>
  <r>
    <x v="756"/>
    <x v="0"/>
    <n v="5129"/>
    <n v="-1143"/>
    <n v="9608"/>
    <n v="4847"/>
    <n v="1425"/>
    <n v="110"/>
    <x v="0"/>
    <n v="2"/>
    <x v="5"/>
  </r>
  <r>
    <x v="247"/>
    <x v="3"/>
    <n v="6505"/>
    <n v="3704"/>
    <n v="9219"/>
    <n v="2374"/>
    <n v="427"/>
    <n v="11"/>
    <x v="3"/>
    <n v="8"/>
    <x v="6"/>
  </r>
  <r>
    <x v="757"/>
    <x v="1"/>
    <n v="2138"/>
    <n v="-1224"/>
    <n v="9973"/>
    <n v="1470"/>
    <n v="1892"/>
    <n v="27"/>
    <x v="3"/>
    <n v="1"/>
    <x v="4"/>
  </r>
  <r>
    <x v="518"/>
    <x v="1"/>
    <n v="9917"/>
    <n v="8289"/>
    <n v="4515"/>
    <n v="1242"/>
    <n v="386"/>
    <n v="115"/>
    <x v="3"/>
    <n v="4"/>
    <x v="9"/>
  </r>
  <r>
    <x v="743"/>
    <x v="1"/>
    <n v="11848"/>
    <n v="10222"/>
    <n v="7634"/>
    <n v="1316"/>
    <n v="310"/>
    <n v="50"/>
    <x v="0"/>
    <n v="10"/>
    <x v="8"/>
  </r>
  <r>
    <x v="758"/>
    <x v="0"/>
    <n v="6540"/>
    <n v="3087"/>
    <n v="8789"/>
    <n v="2593"/>
    <n v="860"/>
    <n v="42"/>
    <x v="1"/>
    <n v="10"/>
    <x v="1"/>
  </r>
  <r>
    <x v="127"/>
    <x v="2"/>
    <n v="6825"/>
    <n v="3417"/>
    <n v="5920"/>
    <n v="3054"/>
    <n v="354"/>
    <n v="26"/>
    <x v="2"/>
    <n v="3"/>
    <x v="11"/>
  </r>
  <r>
    <x v="346"/>
    <x v="2"/>
    <n v="10935"/>
    <n v="6855"/>
    <n v="6586"/>
    <n v="3734"/>
    <n v="346"/>
    <n v="116"/>
    <x v="0"/>
    <n v="2"/>
    <x v="7"/>
  </r>
  <r>
    <x v="759"/>
    <x v="0"/>
    <n v="3406"/>
    <n v="-112"/>
    <n v="6655"/>
    <n v="2768"/>
    <n v="750"/>
    <n v="93"/>
    <x v="0"/>
    <n v="8"/>
    <x v="1"/>
  </r>
  <r>
    <x v="760"/>
    <x v="3"/>
    <n v="4027"/>
    <n v="1109"/>
    <n v="4282"/>
    <n v="1066"/>
    <n v="1852"/>
    <n v="77"/>
    <x v="0"/>
    <n v="9"/>
    <x v="10"/>
  </r>
  <r>
    <x v="554"/>
    <x v="3"/>
    <n v="8675"/>
    <n v="4216"/>
    <n v="7714"/>
    <n v="3094"/>
    <n v="1365"/>
    <n v="10"/>
    <x v="3"/>
    <n v="3"/>
    <x v="7"/>
  </r>
  <r>
    <x v="101"/>
    <x v="2"/>
    <n v="6482"/>
    <n v="1027"/>
    <n v="8634"/>
    <n v="3787"/>
    <n v="1668"/>
    <n v="42"/>
    <x v="4"/>
    <n v="5"/>
    <x v="9"/>
  </r>
  <r>
    <x v="761"/>
    <x v="1"/>
    <n v="7223"/>
    <n v="2443"/>
    <n v="4648"/>
    <n v="4213"/>
    <n v="567"/>
    <n v="110"/>
    <x v="4"/>
    <n v="3"/>
    <x v="7"/>
  </r>
  <r>
    <x v="555"/>
    <x v="2"/>
    <n v="3400"/>
    <n v="-2540"/>
    <n v="9047"/>
    <n v="4024"/>
    <n v="1916"/>
    <n v="100"/>
    <x v="0"/>
    <n v="8"/>
    <x v="10"/>
  </r>
  <r>
    <x v="762"/>
    <x v="0"/>
    <n v="5572"/>
    <n v="1844"/>
    <n v="4867"/>
    <n v="2671"/>
    <n v="1057"/>
    <n v="38"/>
    <x v="0"/>
    <n v="10"/>
    <x v="5"/>
  </r>
  <r>
    <x v="763"/>
    <x v="1"/>
    <n v="2810"/>
    <n v="36"/>
    <n v="5072"/>
    <n v="1450"/>
    <n v="1324"/>
    <n v="93"/>
    <x v="2"/>
    <n v="7"/>
    <x v="9"/>
  </r>
  <r>
    <x v="372"/>
    <x v="2"/>
    <n v="7415"/>
    <n v="4927"/>
    <n v="6419"/>
    <n v="1628"/>
    <n v="860"/>
    <n v="32"/>
    <x v="2"/>
    <n v="5"/>
    <x v="4"/>
  </r>
  <r>
    <x v="381"/>
    <x v="1"/>
    <n v="4384"/>
    <n v="1091"/>
    <n v="7295"/>
    <n v="2028"/>
    <n v="1265"/>
    <n v="64"/>
    <x v="4"/>
    <n v="9"/>
    <x v="1"/>
  </r>
  <r>
    <x v="764"/>
    <x v="2"/>
    <n v="9375"/>
    <n v="4858"/>
    <n v="9649"/>
    <n v="3279"/>
    <n v="1238"/>
    <n v="74"/>
    <x v="3"/>
    <n v="9"/>
    <x v="10"/>
  </r>
  <r>
    <x v="608"/>
    <x v="0"/>
    <n v="11668"/>
    <n v="8380"/>
    <n v="9353"/>
    <n v="2241"/>
    <n v="1047"/>
    <n v="99"/>
    <x v="3"/>
    <n v="10"/>
    <x v="4"/>
  </r>
  <r>
    <x v="765"/>
    <x v="3"/>
    <n v="6425"/>
    <n v="797"/>
    <n v="7115"/>
    <n v="4498"/>
    <n v="1130"/>
    <n v="109"/>
    <x v="2"/>
    <n v="8"/>
    <x v="5"/>
  </r>
  <r>
    <x v="766"/>
    <x v="0"/>
    <n v="6178"/>
    <n v="947"/>
    <n v="5607"/>
    <n v="4822"/>
    <n v="409"/>
    <n v="10"/>
    <x v="1"/>
    <n v="10"/>
    <x v="0"/>
  </r>
  <r>
    <x v="767"/>
    <x v="2"/>
    <n v="2882"/>
    <n v="-1450"/>
    <n v="8995"/>
    <n v="4000"/>
    <n v="332"/>
    <n v="64"/>
    <x v="2"/>
    <n v="4"/>
    <x v="6"/>
  </r>
  <r>
    <x v="768"/>
    <x v="3"/>
    <n v="6718"/>
    <n v="2423"/>
    <n v="4408"/>
    <n v="4032"/>
    <n v="263"/>
    <n v="66"/>
    <x v="0"/>
    <n v="10"/>
    <x v="1"/>
  </r>
  <r>
    <x v="498"/>
    <x v="2"/>
    <n v="8276"/>
    <n v="2697"/>
    <n v="4428"/>
    <n v="4530"/>
    <n v="1049"/>
    <n v="53"/>
    <x v="2"/>
    <n v="9"/>
    <x v="1"/>
  </r>
  <r>
    <x v="23"/>
    <x v="2"/>
    <n v="9380"/>
    <n v="4287"/>
    <n v="9594"/>
    <n v="4480"/>
    <n v="613"/>
    <n v="69"/>
    <x v="0"/>
    <n v="2"/>
    <x v="11"/>
  </r>
  <r>
    <x v="555"/>
    <x v="0"/>
    <n v="6721"/>
    <n v="2568"/>
    <n v="5424"/>
    <n v="2340"/>
    <n v="1813"/>
    <n v="26"/>
    <x v="2"/>
    <n v="7"/>
    <x v="10"/>
  </r>
  <r>
    <x v="767"/>
    <x v="1"/>
    <n v="6075"/>
    <n v="-63"/>
    <n v="6065"/>
    <n v="4802"/>
    <n v="1336"/>
    <n v="38"/>
    <x v="2"/>
    <n v="7"/>
    <x v="6"/>
  </r>
  <r>
    <x v="769"/>
    <x v="2"/>
    <n v="3668"/>
    <n v="-780"/>
    <n v="4575"/>
    <n v="3595"/>
    <n v="853"/>
    <n v="38"/>
    <x v="2"/>
    <n v="6"/>
    <x v="7"/>
  </r>
  <r>
    <x v="281"/>
    <x v="2"/>
    <n v="8799"/>
    <n v="4759"/>
    <n v="4351"/>
    <n v="2527"/>
    <n v="1513"/>
    <n v="109"/>
    <x v="2"/>
    <n v="9"/>
    <x v="4"/>
  </r>
  <r>
    <x v="456"/>
    <x v="1"/>
    <n v="2549"/>
    <n v="-1522"/>
    <n v="5977"/>
    <n v="2290"/>
    <n v="1781"/>
    <n v="10"/>
    <x v="2"/>
    <n v="6"/>
    <x v="5"/>
  </r>
  <r>
    <x v="241"/>
    <x v="2"/>
    <n v="4798"/>
    <n v="-1379"/>
    <n v="9733"/>
    <n v="4207"/>
    <n v="1970"/>
    <n v="34"/>
    <x v="3"/>
    <n v="5"/>
    <x v="1"/>
  </r>
  <r>
    <x v="420"/>
    <x v="0"/>
    <n v="4247"/>
    <n v="1759"/>
    <n v="9358"/>
    <n v="1457"/>
    <n v="1031"/>
    <n v="34"/>
    <x v="0"/>
    <n v="1"/>
    <x v="5"/>
  </r>
  <r>
    <x v="368"/>
    <x v="1"/>
    <n v="7392"/>
    <n v="3923"/>
    <n v="8529"/>
    <n v="2940"/>
    <n v="529"/>
    <n v="97"/>
    <x v="3"/>
    <n v="6"/>
    <x v="8"/>
  </r>
  <r>
    <x v="162"/>
    <x v="1"/>
    <n v="9909"/>
    <n v="5462"/>
    <n v="6472"/>
    <n v="2816"/>
    <n v="1631"/>
    <n v="118"/>
    <x v="3"/>
    <n v="2"/>
    <x v="11"/>
  </r>
  <r>
    <x v="770"/>
    <x v="3"/>
    <n v="8866"/>
    <n v="4166"/>
    <n v="5966"/>
    <n v="4360"/>
    <n v="340"/>
    <n v="73"/>
    <x v="4"/>
    <n v="3"/>
    <x v="2"/>
  </r>
  <r>
    <x v="524"/>
    <x v="3"/>
    <n v="7381"/>
    <n v="2000"/>
    <n v="8607"/>
    <n v="3453"/>
    <n v="1928"/>
    <n v="66"/>
    <x v="3"/>
    <n v="7"/>
    <x v="0"/>
  </r>
  <r>
    <x v="192"/>
    <x v="1"/>
    <n v="5613"/>
    <n v="938"/>
    <n v="8693"/>
    <n v="3739"/>
    <n v="936"/>
    <n v="18"/>
    <x v="1"/>
    <n v="5"/>
    <x v="3"/>
  </r>
  <r>
    <x v="742"/>
    <x v="0"/>
    <n v="6935"/>
    <n v="2683"/>
    <n v="5670"/>
    <n v="2626"/>
    <n v="1626"/>
    <n v="18"/>
    <x v="4"/>
    <n v="3"/>
    <x v="0"/>
  </r>
  <r>
    <x v="771"/>
    <x v="1"/>
    <n v="11795"/>
    <n v="8586"/>
    <n v="7016"/>
    <n v="2637"/>
    <n v="572"/>
    <n v="116"/>
    <x v="3"/>
    <n v="10"/>
    <x v="10"/>
  </r>
  <r>
    <x v="772"/>
    <x v="3"/>
    <n v="5960"/>
    <n v="1488"/>
    <n v="5070"/>
    <n v="3996"/>
    <n v="476"/>
    <n v="49"/>
    <x v="0"/>
    <n v="7"/>
    <x v="1"/>
  </r>
  <r>
    <x v="572"/>
    <x v="1"/>
    <n v="7897"/>
    <n v="3119"/>
    <n v="4252"/>
    <n v="4503"/>
    <n v="275"/>
    <n v="107"/>
    <x v="0"/>
    <n v="8"/>
    <x v="3"/>
  </r>
  <r>
    <x v="416"/>
    <x v="1"/>
    <n v="11207"/>
    <n v="8458"/>
    <n v="5227"/>
    <n v="1400"/>
    <n v="1349"/>
    <n v="21"/>
    <x v="2"/>
    <n v="9"/>
    <x v="6"/>
  </r>
  <r>
    <x v="773"/>
    <x v="3"/>
    <n v="10870"/>
    <n v="6136"/>
    <n v="8066"/>
    <n v="2756"/>
    <n v="1978"/>
    <n v="71"/>
    <x v="1"/>
    <n v="10"/>
    <x v="11"/>
  </r>
  <r>
    <x v="279"/>
    <x v="3"/>
    <n v="4655"/>
    <n v="-770"/>
    <n v="8330"/>
    <n v="3959"/>
    <n v="1466"/>
    <n v="26"/>
    <x v="0"/>
    <n v="5"/>
    <x v="11"/>
  </r>
  <r>
    <x v="766"/>
    <x v="3"/>
    <n v="2308"/>
    <n v="-1218"/>
    <n v="5421"/>
    <n v="2066"/>
    <n v="1460"/>
    <n v="44"/>
    <x v="2"/>
    <n v="3"/>
    <x v="0"/>
  </r>
  <r>
    <x v="490"/>
    <x v="0"/>
    <n v="5735"/>
    <n v="3231"/>
    <n v="4213"/>
    <n v="2017"/>
    <n v="487"/>
    <n v="47"/>
    <x v="3"/>
    <n v="3"/>
    <x v="5"/>
  </r>
  <r>
    <x v="404"/>
    <x v="1"/>
    <n v="5861"/>
    <n v="1211"/>
    <n v="7282"/>
    <n v="3986"/>
    <n v="664"/>
    <n v="100"/>
    <x v="2"/>
    <n v="5"/>
    <x v="9"/>
  </r>
  <r>
    <x v="568"/>
    <x v="0"/>
    <n v="2331"/>
    <n v="187"/>
    <n v="5101"/>
    <n v="1374"/>
    <n v="770"/>
    <n v="70"/>
    <x v="2"/>
    <n v="3"/>
    <x v="9"/>
  </r>
  <r>
    <x v="774"/>
    <x v="0"/>
    <n v="6610"/>
    <n v="3173"/>
    <n v="9617"/>
    <n v="1685"/>
    <n v="1752"/>
    <n v="84"/>
    <x v="4"/>
    <n v="3"/>
    <x v="9"/>
  </r>
  <r>
    <x v="775"/>
    <x v="3"/>
    <n v="8371"/>
    <n v="4548"/>
    <n v="5786"/>
    <n v="3198"/>
    <n v="625"/>
    <n v="118"/>
    <x v="3"/>
    <n v="10"/>
    <x v="3"/>
  </r>
  <r>
    <x v="776"/>
    <x v="1"/>
    <n v="5557"/>
    <n v="1329"/>
    <n v="6888"/>
    <n v="3788"/>
    <n v="440"/>
    <n v="19"/>
    <x v="2"/>
    <n v="10"/>
    <x v="0"/>
  </r>
  <r>
    <x v="777"/>
    <x v="2"/>
    <n v="8597"/>
    <n v="1899"/>
    <n v="6880"/>
    <n v="4767"/>
    <n v="1931"/>
    <n v="87"/>
    <x v="1"/>
    <n v="3"/>
    <x v="6"/>
  </r>
  <r>
    <x v="59"/>
    <x v="1"/>
    <n v="5610"/>
    <n v="3369"/>
    <n v="6219"/>
    <n v="1867"/>
    <n v="374"/>
    <n v="86"/>
    <x v="2"/>
    <n v="1"/>
    <x v="4"/>
  </r>
  <r>
    <x v="778"/>
    <x v="0"/>
    <n v="4980"/>
    <n v="2044"/>
    <n v="8758"/>
    <n v="1830"/>
    <n v="1106"/>
    <n v="72"/>
    <x v="3"/>
    <n v="9"/>
    <x v="9"/>
  </r>
  <r>
    <x v="779"/>
    <x v="3"/>
    <n v="4618"/>
    <n v="367"/>
    <n v="7048"/>
    <n v="3789"/>
    <n v="462"/>
    <n v="69"/>
    <x v="0"/>
    <n v="8"/>
    <x v="1"/>
  </r>
  <r>
    <x v="721"/>
    <x v="2"/>
    <n v="6425"/>
    <n v="5232"/>
    <n v="9950"/>
    <n v="861"/>
    <n v="332"/>
    <n v="33"/>
    <x v="1"/>
    <n v="4"/>
    <x v="11"/>
  </r>
  <r>
    <x v="774"/>
    <x v="2"/>
    <n v="5909"/>
    <n v="478"/>
    <n v="4070"/>
    <n v="4448"/>
    <n v="983"/>
    <n v="64"/>
    <x v="2"/>
    <n v="6"/>
    <x v="9"/>
  </r>
  <r>
    <x v="780"/>
    <x v="0"/>
    <n v="5511"/>
    <n v="2896"/>
    <n v="4534"/>
    <n v="1506"/>
    <n v="1109"/>
    <n v="62"/>
    <x v="1"/>
    <n v="2"/>
    <x v="3"/>
  </r>
  <r>
    <x v="117"/>
    <x v="0"/>
    <n v="8560"/>
    <n v="3968"/>
    <n v="6924"/>
    <n v="4099"/>
    <n v="493"/>
    <n v="14"/>
    <x v="4"/>
    <n v="9"/>
    <x v="1"/>
  </r>
  <r>
    <x v="781"/>
    <x v="0"/>
    <n v="3056"/>
    <n v="-309"/>
    <n v="8107"/>
    <n v="2363"/>
    <n v="1002"/>
    <n v="12"/>
    <x v="4"/>
    <n v="8"/>
    <x v="10"/>
  </r>
  <r>
    <x v="782"/>
    <x v="0"/>
    <n v="9934"/>
    <n v="6635"/>
    <n v="9483"/>
    <n v="3074"/>
    <n v="225"/>
    <n v="93"/>
    <x v="2"/>
    <n v="4"/>
    <x v="7"/>
  </r>
  <r>
    <x v="783"/>
    <x v="3"/>
    <n v="6910"/>
    <n v="4434"/>
    <n v="9401"/>
    <n v="1742"/>
    <n v="734"/>
    <n v="63"/>
    <x v="4"/>
    <n v="9"/>
    <x v="9"/>
  </r>
  <r>
    <x v="651"/>
    <x v="2"/>
    <n v="2230"/>
    <n v="-2671"/>
    <n v="9221"/>
    <n v="4364"/>
    <n v="537"/>
    <n v="50"/>
    <x v="1"/>
    <n v="8"/>
    <x v="2"/>
  </r>
  <r>
    <x v="784"/>
    <x v="0"/>
    <n v="5259"/>
    <n v="1591"/>
    <n v="8230"/>
    <n v="2811"/>
    <n v="857"/>
    <n v="45"/>
    <x v="2"/>
    <n v="10"/>
    <x v="4"/>
  </r>
  <r>
    <x v="785"/>
    <x v="3"/>
    <n v="6570"/>
    <n v="3887"/>
    <n v="5958"/>
    <n v="948"/>
    <n v="1735"/>
    <n v="21"/>
    <x v="4"/>
    <n v="7"/>
    <x v="0"/>
  </r>
  <r>
    <x v="318"/>
    <x v="1"/>
    <n v="11834"/>
    <n v="9785"/>
    <n v="5546"/>
    <n v="1043"/>
    <n v="1006"/>
    <n v="72"/>
    <x v="2"/>
    <n v="3"/>
    <x v="10"/>
  </r>
  <r>
    <x v="786"/>
    <x v="1"/>
    <n v="11547"/>
    <n v="8272"/>
    <n v="6994"/>
    <n v="1613"/>
    <n v="1662"/>
    <n v="81"/>
    <x v="2"/>
    <n v="2"/>
    <x v="11"/>
  </r>
  <r>
    <x v="787"/>
    <x v="3"/>
    <n v="5981"/>
    <n v="1135"/>
    <n v="7011"/>
    <n v="4545"/>
    <n v="301"/>
    <n v="26"/>
    <x v="0"/>
    <n v="4"/>
    <x v="2"/>
  </r>
  <r>
    <x v="788"/>
    <x v="0"/>
    <n v="7466"/>
    <n v="3507"/>
    <n v="6881"/>
    <n v="2760"/>
    <n v="1199"/>
    <n v="75"/>
    <x v="2"/>
    <n v="6"/>
    <x v="2"/>
  </r>
  <r>
    <x v="433"/>
    <x v="1"/>
    <n v="5910"/>
    <n v="-102"/>
    <n v="5159"/>
    <n v="4525"/>
    <n v="1487"/>
    <n v="51"/>
    <x v="4"/>
    <n v="10"/>
    <x v="8"/>
  </r>
  <r>
    <x v="789"/>
    <x v="2"/>
    <n v="10203"/>
    <n v="4727"/>
    <n v="9947"/>
    <n v="3640"/>
    <n v="1836"/>
    <n v="25"/>
    <x v="3"/>
    <n v="4"/>
    <x v="10"/>
  </r>
  <r>
    <x v="216"/>
    <x v="3"/>
    <n v="5529"/>
    <n v="482"/>
    <n v="4138"/>
    <n v="4456"/>
    <n v="591"/>
    <n v="18"/>
    <x v="0"/>
    <n v="9"/>
    <x v="11"/>
  </r>
  <r>
    <x v="622"/>
    <x v="3"/>
    <n v="8203"/>
    <n v="4818"/>
    <n v="7219"/>
    <n v="2420"/>
    <n v="965"/>
    <n v="23"/>
    <x v="3"/>
    <n v="10"/>
    <x v="2"/>
  </r>
  <r>
    <x v="188"/>
    <x v="1"/>
    <n v="8455"/>
    <n v="5800"/>
    <n v="6667"/>
    <n v="1406"/>
    <n v="1249"/>
    <n v="67"/>
    <x v="2"/>
    <n v="1"/>
    <x v="0"/>
  </r>
  <r>
    <x v="436"/>
    <x v="3"/>
    <n v="9951"/>
    <n v="6115"/>
    <n v="5074"/>
    <n v="3393"/>
    <n v="443"/>
    <n v="54"/>
    <x v="4"/>
    <n v="5"/>
    <x v="6"/>
  </r>
  <r>
    <x v="790"/>
    <x v="0"/>
    <n v="9684"/>
    <n v="4426"/>
    <n v="8656"/>
    <n v="4499"/>
    <n v="759"/>
    <n v="115"/>
    <x v="4"/>
    <n v="1"/>
    <x v="3"/>
  </r>
  <r>
    <x v="480"/>
    <x v="3"/>
    <n v="8887"/>
    <n v="5759"/>
    <n v="9656"/>
    <n v="2561"/>
    <n v="567"/>
    <n v="15"/>
    <x v="1"/>
    <n v="1"/>
    <x v="7"/>
  </r>
  <r>
    <x v="116"/>
    <x v="3"/>
    <n v="2767"/>
    <n v="-1533"/>
    <n v="6269"/>
    <n v="3780"/>
    <n v="520"/>
    <n v="42"/>
    <x v="2"/>
    <n v="6"/>
    <x v="4"/>
  </r>
  <r>
    <x v="746"/>
    <x v="2"/>
    <n v="7813"/>
    <n v="5302"/>
    <n v="9471"/>
    <n v="1249"/>
    <n v="1262"/>
    <n v="91"/>
    <x v="2"/>
    <n v="8"/>
    <x v="3"/>
  </r>
  <r>
    <x v="117"/>
    <x v="0"/>
    <n v="2861"/>
    <n v="-746"/>
    <n v="7987"/>
    <n v="2624"/>
    <n v="983"/>
    <n v="88"/>
    <x v="0"/>
    <n v="8"/>
    <x v="1"/>
  </r>
  <r>
    <x v="770"/>
    <x v="0"/>
    <n v="8618"/>
    <n v="5528"/>
    <n v="9176"/>
    <n v="2652"/>
    <n v="438"/>
    <n v="51"/>
    <x v="0"/>
    <n v="4"/>
    <x v="2"/>
  </r>
  <r>
    <x v="453"/>
    <x v="0"/>
    <n v="10948"/>
    <n v="6627"/>
    <n v="5724"/>
    <n v="3905"/>
    <n v="416"/>
    <n v="10"/>
    <x v="0"/>
    <n v="5"/>
    <x v="1"/>
  </r>
  <r>
    <x v="791"/>
    <x v="0"/>
    <n v="3909"/>
    <n v="-1334"/>
    <n v="8144"/>
    <n v="3513"/>
    <n v="1730"/>
    <n v="86"/>
    <x v="1"/>
    <n v="3"/>
    <x v="2"/>
  </r>
  <r>
    <x v="792"/>
    <x v="3"/>
    <n v="5995"/>
    <n v="3109"/>
    <n v="4753"/>
    <n v="2362"/>
    <n v="524"/>
    <n v="40"/>
    <x v="2"/>
    <n v="3"/>
    <x v="5"/>
  </r>
  <r>
    <x v="793"/>
    <x v="3"/>
    <n v="2435"/>
    <n v="-3529"/>
    <n v="6875"/>
    <n v="4900"/>
    <n v="1064"/>
    <n v="120"/>
    <x v="3"/>
    <n v="4"/>
    <x v="1"/>
  </r>
  <r>
    <x v="358"/>
    <x v="2"/>
    <n v="3186"/>
    <n v="-615"/>
    <n v="7711"/>
    <n v="3300"/>
    <n v="501"/>
    <n v="65"/>
    <x v="2"/>
    <n v="6"/>
    <x v="3"/>
  </r>
  <r>
    <x v="794"/>
    <x v="2"/>
    <n v="11306"/>
    <n v="8495"/>
    <n v="8490"/>
    <n v="2022"/>
    <n v="789"/>
    <n v="15"/>
    <x v="2"/>
    <n v="2"/>
    <x v="0"/>
  </r>
  <r>
    <x v="669"/>
    <x v="2"/>
    <n v="10968"/>
    <n v="9478"/>
    <n v="6192"/>
    <n v="898"/>
    <n v="592"/>
    <n v="82"/>
    <x v="1"/>
    <n v="10"/>
    <x v="7"/>
  </r>
  <r>
    <x v="734"/>
    <x v="2"/>
    <n v="7612"/>
    <n v="4226"/>
    <n v="5120"/>
    <n v="2078"/>
    <n v="1308"/>
    <n v="36"/>
    <x v="4"/>
    <n v="4"/>
    <x v="0"/>
  </r>
  <r>
    <x v="624"/>
    <x v="1"/>
    <n v="4086"/>
    <n v="879"/>
    <n v="6207"/>
    <n v="2860"/>
    <n v="347"/>
    <n v="41"/>
    <x v="4"/>
    <n v="10"/>
    <x v="7"/>
  </r>
  <r>
    <x v="795"/>
    <x v="1"/>
    <n v="5650"/>
    <n v="1099"/>
    <n v="6450"/>
    <n v="3304"/>
    <n v="1247"/>
    <n v="37"/>
    <x v="0"/>
    <n v="9"/>
    <x v="7"/>
  </r>
  <r>
    <x v="796"/>
    <x v="2"/>
    <n v="3476"/>
    <n v="-1410"/>
    <n v="5391"/>
    <n v="3314"/>
    <n v="1572"/>
    <n v="97"/>
    <x v="1"/>
    <n v="9"/>
    <x v="9"/>
  </r>
  <r>
    <x v="797"/>
    <x v="2"/>
    <n v="2094"/>
    <n v="-1999"/>
    <n v="7447"/>
    <n v="2106"/>
    <n v="1987"/>
    <n v="79"/>
    <x v="2"/>
    <n v="5"/>
    <x v="3"/>
  </r>
  <r>
    <x v="798"/>
    <x v="0"/>
    <n v="4228"/>
    <n v="-1357"/>
    <n v="6429"/>
    <n v="3601"/>
    <n v="1984"/>
    <n v="67"/>
    <x v="3"/>
    <n v="7"/>
    <x v="1"/>
  </r>
  <r>
    <x v="231"/>
    <x v="3"/>
    <n v="10209"/>
    <n v="6068"/>
    <n v="6764"/>
    <n v="3197"/>
    <n v="944"/>
    <n v="120"/>
    <x v="1"/>
    <n v="7"/>
    <x v="10"/>
  </r>
  <r>
    <x v="378"/>
    <x v="0"/>
    <n v="5189"/>
    <n v="3321"/>
    <n v="6962"/>
    <n v="1392"/>
    <n v="476"/>
    <n v="54"/>
    <x v="0"/>
    <n v="9"/>
    <x v="5"/>
  </r>
  <r>
    <x v="799"/>
    <x v="3"/>
    <n v="5053"/>
    <n v="699"/>
    <n v="6008"/>
    <n v="2751"/>
    <n v="1603"/>
    <n v="53"/>
    <x v="0"/>
    <n v="10"/>
    <x v="5"/>
  </r>
  <r>
    <x v="800"/>
    <x v="2"/>
    <n v="10554"/>
    <n v="5422"/>
    <n v="5897"/>
    <n v="4058"/>
    <n v="1074"/>
    <n v="67"/>
    <x v="3"/>
    <n v="6"/>
    <x v="11"/>
  </r>
  <r>
    <x v="72"/>
    <x v="1"/>
    <n v="4726"/>
    <n v="3492"/>
    <n v="8346"/>
    <n v="945"/>
    <n v="289"/>
    <n v="86"/>
    <x v="3"/>
    <n v="9"/>
    <x v="7"/>
  </r>
  <r>
    <x v="640"/>
    <x v="1"/>
    <n v="8969"/>
    <n v="3479"/>
    <n v="4457"/>
    <n v="4170"/>
    <n v="1320"/>
    <n v="53"/>
    <x v="0"/>
    <n v="2"/>
    <x v="0"/>
  </r>
  <r>
    <x v="366"/>
    <x v="2"/>
    <n v="9120"/>
    <n v="6269"/>
    <n v="6378"/>
    <n v="1778"/>
    <n v="1073"/>
    <n v="49"/>
    <x v="3"/>
    <n v="9"/>
    <x v="11"/>
  </r>
  <r>
    <x v="284"/>
    <x v="3"/>
    <n v="4787"/>
    <n v="-1386"/>
    <n v="6868"/>
    <n v="4515"/>
    <n v="1658"/>
    <n v="66"/>
    <x v="0"/>
    <n v="5"/>
    <x v="9"/>
  </r>
  <r>
    <x v="233"/>
    <x v="2"/>
    <n v="7983"/>
    <n v="2371"/>
    <n v="5977"/>
    <n v="4347"/>
    <n v="1265"/>
    <n v="62"/>
    <x v="0"/>
    <n v="9"/>
    <x v="8"/>
  </r>
  <r>
    <x v="801"/>
    <x v="1"/>
    <n v="8099"/>
    <n v="5667"/>
    <n v="8737"/>
    <n v="1005"/>
    <n v="1427"/>
    <n v="95"/>
    <x v="3"/>
    <n v="10"/>
    <x v="7"/>
  </r>
  <r>
    <x v="325"/>
    <x v="0"/>
    <n v="11397"/>
    <n v="7149"/>
    <n v="9949"/>
    <n v="3117"/>
    <n v="1131"/>
    <n v="92"/>
    <x v="4"/>
    <n v="2"/>
    <x v="3"/>
  </r>
  <r>
    <x v="802"/>
    <x v="0"/>
    <n v="11248"/>
    <n v="5120"/>
    <n v="8813"/>
    <n v="4926"/>
    <n v="1202"/>
    <n v="103"/>
    <x v="3"/>
    <n v="10"/>
    <x v="10"/>
  </r>
  <r>
    <x v="803"/>
    <x v="2"/>
    <n v="4168"/>
    <n v="62"/>
    <n v="8749"/>
    <n v="3305"/>
    <n v="801"/>
    <n v="98"/>
    <x v="0"/>
    <n v="8"/>
    <x v="10"/>
  </r>
  <r>
    <x v="804"/>
    <x v="0"/>
    <n v="9917"/>
    <n v="4240"/>
    <n v="4540"/>
    <n v="4973"/>
    <n v="704"/>
    <n v="53"/>
    <x v="1"/>
    <n v="3"/>
    <x v="10"/>
  </r>
  <r>
    <x v="805"/>
    <x v="1"/>
    <n v="9575"/>
    <n v="4300"/>
    <n v="6403"/>
    <n v="4191"/>
    <n v="1084"/>
    <n v="90"/>
    <x v="2"/>
    <n v="6"/>
    <x v="4"/>
  </r>
  <r>
    <x v="258"/>
    <x v="0"/>
    <n v="3246"/>
    <n v="1370"/>
    <n v="4610"/>
    <n v="1253"/>
    <n v="623"/>
    <n v="16"/>
    <x v="4"/>
    <n v="4"/>
    <x v="8"/>
  </r>
  <r>
    <x v="404"/>
    <x v="0"/>
    <n v="9093"/>
    <n v="4208"/>
    <n v="4972"/>
    <n v="4289"/>
    <n v="596"/>
    <n v="114"/>
    <x v="4"/>
    <n v="4"/>
    <x v="9"/>
  </r>
  <r>
    <x v="806"/>
    <x v="2"/>
    <n v="8660"/>
    <n v="5529"/>
    <n v="6656"/>
    <n v="2099"/>
    <n v="1032"/>
    <n v="80"/>
    <x v="4"/>
    <n v="4"/>
    <x v="2"/>
  </r>
  <r>
    <x v="645"/>
    <x v="2"/>
    <n v="7928"/>
    <n v="2591"/>
    <n v="7816"/>
    <n v="4262"/>
    <n v="1075"/>
    <n v="101"/>
    <x v="3"/>
    <n v="7"/>
    <x v="6"/>
  </r>
  <r>
    <x v="539"/>
    <x v="1"/>
    <n v="8961"/>
    <n v="5563"/>
    <n v="9485"/>
    <n v="2813"/>
    <n v="585"/>
    <n v="101"/>
    <x v="3"/>
    <n v="5"/>
    <x v="8"/>
  </r>
  <r>
    <x v="807"/>
    <x v="3"/>
    <n v="6193"/>
    <n v="3246"/>
    <n v="4935"/>
    <n v="2632"/>
    <n v="315"/>
    <n v="65"/>
    <x v="1"/>
    <n v="7"/>
    <x v="6"/>
  </r>
  <r>
    <x v="748"/>
    <x v="2"/>
    <n v="2259"/>
    <n v="-3041"/>
    <n v="7197"/>
    <n v="3900"/>
    <n v="1400"/>
    <n v="119"/>
    <x v="4"/>
    <n v="10"/>
    <x v="11"/>
  </r>
  <r>
    <x v="808"/>
    <x v="0"/>
    <n v="11176"/>
    <n v="6621"/>
    <n v="5158"/>
    <n v="4344"/>
    <n v="211"/>
    <n v="42"/>
    <x v="1"/>
    <n v="7"/>
    <x v="0"/>
  </r>
  <r>
    <x v="809"/>
    <x v="2"/>
    <n v="11250"/>
    <n v="4899"/>
    <n v="6276"/>
    <n v="4932"/>
    <n v="1419"/>
    <n v="104"/>
    <x v="3"/>
    <n v="2"/>
    <x v="1"/>
  </r>
  <r>
    <x v="282"/>
    <x v="2"/>
    <n v="4157"/>
    <n v="-1344"/>
    <n v="7554"/>
    <n v="4025"/>
    <n v="1476"/>
    <n v="26"/>
    <x v="4"/>
    <n v="4"/>
    <x v="10"/>
  </r>
  <r>
    <x v="284"/>
    <x v="0"/>
    <n v="4482"/>
    <n v="50"/>
    <n v="8362"/>
    <n v="3599"/>
    <n v="833"/>
    <n v="120"/>
    <x v="4"/>
    <n v="4"/>
    <x v="9"/>
  </r>
  <r>
    <x v="106"/>
    <x v="3"/>
    <n v="10572"/>
    <n v="8500"/>
    <n v="4600"/>
    <n v="1385"/>
    <n v="687"/>
    <n v="41"/>
    <x v="3"/>
    <n v="1"/>
    <x v="5"/>
  </r>
  <r>
    <x v="810"/>
    <x v="0"/>
    <n v="6632"/>
    <n v="1785"/>
    <n v="8994"/>
    <n v="3931"/>
    <n v="916"/>
    <n v="112"/>
    <x v="1"/>
    <n v="10"/>
    <x v="8"/>
  </r>
  <r>
    <x v="661"/>
    <x v="0"/>
    <n v="5646"/>
    <n v="1844"/>
    <n v="5170"/>
    <n v="2459"/>
    <n v="1343"/>
    <n v="56"/>
    <x v="4"/>
    <n v="2"/>
    <x v="4"/>
  </r>
  <r>
    <x v="811"/>
    <x v="1"/>
    <n v="7874"/>
    <n v="2328"/>
    <n v="8313"/>
    <n v="4793"/>
    <n v="753"/>
    <n v="111"/>
    <x v="2"/>
    <n v="7"/>
    <x v="11"/>
  </r>
  <r>
    <x v="400"/>
    <x v="2"/>
    <n v="9154"/>
    <n v="5101"/>
    <n v="4638"/>
    <n v="2777"/>
    <n v="1276"/>
    <n v="100"/>
    <x v="2"/>
    <n v="1"/>
    <x v="11"/>
  </r>
  <r>
    <x v="249"/>
    <x v="3"/>
    <n v="9469"/>
    <n v="5810"/>
    <n v="7438"/>
    <n v="1841"/>
    <n v="1818"/>
    <n v="37"/>
    <x v="1"/>
    <n v="6"/>
    <x v="3"/>
  </r>
  <r>
    <x v="68"/>
    <x v="3"/>
    <n v="11371"/>
    <n v="7139"/>
    <n v="7988"/>
    <n v="2829"/>
    <n v="1403"/>
    <n v="108"/>
    <x v="1"/>
    <n v="7"/>
    <x v="11"/>
  </r>
  <r>
    <x v="812"/>
    <x v="3"/>
    <n v="8456"/>
    <n v="3208"/>
    <n v="8653"/>
    <n v="3824"/>
    <n v="1424"/>
    <n v="16"/>
    <x v="3"/>
    <n v="3"/>
    <x v="1"/>
  </r>
  <r>
    <x v="813"/>
    <x v="3"/>
    <n v="10687"/>
    <n v="6977"/>
    <n v="8522"/>
    <n v="2276"/>
    <n v="1434"/>
    <n v="18"/>
    <x v="2"/>
    <n v="8"/>
    <x v="6"/>
  </r>
  <r>
    <x v="32"/>
    <x v="0"/>
    <n v="2697"/>
    <n v="-1392"/>
    <n v="8860"/>
    <n v="3143"/>
    <n v="946"/>
    <n v="64"/>
    <x v="4"/>
    <n v="1"/>
    <x v="2"/>
  </r>
  <r>
    <x v="332"/>
    <x v="2"/>
    <n v="6379"/>
    <n v="2887"/>
    <n v="9185"/>
    <n v="2414"/>
    <n v="1078"/>
    <n v="60"/>
    <x v="0"/>
    <n v="3"/>
    <x v="11"/>
  </r>
  <r>
    <x v="124"/>
    <x v="2"/>
    <n v="5826"/>
    <n v="2950"/>
    <n v="4437"/>
    <n v="2635"/>
    <n v="241"/>
    <n v="53"/>
    <x v="4"/>
    <n v="4"/>
    <x v="10"/>
  </r>
  <r>
    <x v="748"/>
    <x v="0"/>
    <n v="3480"/>
    <n v="-890"/>
    <n v="6495"/>
    <n v="3402"/>
    <n v="968"/>
    <n v="73"/>
    <x v="3"/>
    <n v="7"/>
    <x v="11"/>
  </r>
  <r>
    <x v="453"/>
    <x v="2"/>
    <n v="9763"/>
    <n v="6340"/>
    <n v="7322"/>
    <n v="2384"/>
    <n v="1039"/>
    <n v="98"/>
    <x v="1"/>
    <n v="10"/>
    <x v="1"/>
  </r>
  <r>
    <x v="814"/>
    <x v="1"/>
    <n v="8991"/>
    <n v="3571"/>
    <n v="5509"/>
    <n v="3450"/>
    <n v="1970"/>
    <n v="117"/>
    <x v="1"/>
    <n v="4"/>
    <x v="6"/>
  </r>
  <r>
    <x v="815"/>
    <x v="3"/>
    <n v="10014"/>
    <n v="4504"/>
    <n v="9689"/>
    <n v="3682"/>
    <n v="1828"/>
    <n v="65"/>
    <x v="0"/>
    <n v="3"/>
    <x v="11"/>
  </r>
  <r>
    <x v="723"/>
    <x v="1"/>
    <n v="4221"/>
    <n v="-1031"/>
    <n v="8371"/>
    <n v="4923"/>
    <n v="329"/>
    <n v="107"/>
    <x v="1"/>
    <n v="9"/>
    <x v="8"/>
  </r>
  <r>
    <x v="816"/>
    <x v="1"/>
    <n v="7856"/>
    <n v="3933"/>
    <n v="6219"/>
    <n v="3508"/>
    <n v="415"/>
    <n v="106"/>
    <x v="3"/>
    <n v="7"/>
    <x v="3"/>
  </r>
  <r>
    <x v="817"/>
    <x v="3"/>
    <n v="10321"/>
    <n v="4320"/>
    <n v="9124"/>
    <n v="4383"/>
    <n v="1618"/>
    <n v="101"/>
    <x v="4"/>
    <n v="5"/>
    <x v="7"/>
  </r>
  <r>
    <x v="403"/>
    <x v="1"/>
    <n v="5065"/>
    <n v="1677"/>
    <n v="4233"/>
    <n v="2520"/>
    <n v="868"/>
    <n v="120"/>
    <x v="1"/>
    <n v="5"/>
    <x v="9"/>
  </r>
  <r>
    <x v="406"/>
    <x v="2"/>
    <n v="11382"/>
    <n v="5315"/>
    <n v="8298"/>
    <n v="4390"/>
    <n v="1677"/>
    <n v="84"/>
    <x v="4"/>
    <n v="8"/>
    <x v="6"/>
  </r>
  <r>
    <x v="541"/>
    <x v="1"/>
    <n v="5766"/>
    <n v="-821"/>
    <n v="5500"/>
    <n v="4872"/>
    <n v="1715"/>
    <n v="84"/>
    <x v="2"/>
    <n v="7"/>
    <x v="5"/>
  </r>
  <r>
    <x v="533"/>
    <x v="0"/>
    <n v="10389"/>
    <n v="7473"/>
    <n v="4148"/>
    <n v="2667"/>
    <n v="249"/>
    <n v="104"/>
    <x v="4"/>
    <n v="3"/>
    <x v="2"/>
  </r>
  <r>
    <x v="818"/>
    <x v="2"/>
    <n v="2137"/>
    <n v="-713"/>
    <n v="5120"/>
    <n v="1346"/>
    <n v="1504"/>
    <n v="106"/>
    <x v="2"/>
    <n v="6"/>
    <x v="5"/>
  </r>
  <r>
    <x v="819"/>
    <x v="0"/>
    <n v="4782"/>
    <n v="244"/>
    <n v="5880"/>
    <n v="3837"/>
    <n v="701"/>
    <n v="75"/>
    <x v="2"/>
    <n v="10"/>
    <x v="9"/>
  </r>
  <r>
    <x v="820"/>
    <x v="0"/>
    <n v="8993"/>
    <n v="5120"/>
    <n v="5524"/>
    <n v="2440"/>
    <n v="1433"/>
    <n v="112"/>
    <x v="2"/>
    <n v="8"/>
    <x v="5"/>
  </r>
  <r>
    <x v="821"/>
    <x v="3"/>
    <n v="9365"/>
    <n v="3327"/>
    <n v="4167"/>
    <n v="4630"/>
    <n v="1408"/>
    <n v="55"/>
    <x v="0"/>
    <n v="2"/>
    <x v="1"/>
  </r>
  <r>
    <x v="822"/>
    <x v="0"/>
    <n v="11334"/>
    <n v="8969"/>
    <n v="8267"/>
    <n v="1061"/>
    <n v="1304"/>
    <n v="67"/>
    <x v="0"/>
    <n v="10"/>
    <x v="0"/>
  </r>
  <r>
    <x v="639"/>
    <x v="2"/>
    <n v="2240"/>
    <n v="-1652"/>
    <n v="4238"/>
    <n v="1971"/>
    <n v="1921"/>
    <n v="73"/>
    <x v="3"/>
    <n v="10"/>
    <x v="4"/>
  </r>
  <r>
    <x v="379"/>
    <x v="2"/>
    <n v="5891"/>
    <n v="2123"/>
    <n v="6895"/>
    <n v="2670"/>
    <n v="1098"/>
    <n v="85"/>
    <x v="1"/>
    <n v="9"/>
    <x v="3"/>
  </r>
  <r>
    <x v="823"/>
    <x v="3"/>
    <n v="9065"/>
    <n v="3242"/>
    <n v="8665"/>
    <n v="4756"/>
    <n v="1067"/>
    <n v="93"/>
    <x v="1"/>
    <n v="10"/>
    <x v="10"/>
  </r>
  <r>
    <x v="150"/>
    <x v="2"/>
    <n v="6067"/>
    <n v="2503"/>
    <n v="4393"/>
    <n v="1838"/>
    <n v="1726"/>
    <n v="82"/>
    <x v="2"/>
    <n v="5"/>
    <x v="5"/>
  </r>
  <r>
    <x v="401"/>
    <x v="1"/>
    <n v="6744"/>
    <n v="1422"/>
    <n v="7229"/>
    <n v="3984"/>
    <n v="1338"/>
    <n v="19"/>
    <x v="2"/>
    <n v="6"/>
    <x v="1"/>
  </r>
  <r>
    <x v="625"/>
    <x v="1"/>
    <n v="8877"/>
    <n v="3905"/>
    <n v="5706"/>
    <n v="4673"/>
    <n v="299"/>
    <n v="105"/>
    <x v="0"/>
    <n v="4"/>
    <x v="2"/>
  </r>
  <r>
    <x v="333"/>
    <x v="3"/>
    <n v="7287"/>
    <n v="5043"/>
    <n v="4912"/>
    <n v="1074"/>
    <n v="1170"/>
    <n v="58"/>
    <x v="1"/>
    <n v="3"/>
    <x v="6"/>
  </r>
  <r>
    <x v="824"/>
    <x v="0"/>
    <n v="8559"/>
    <n v="1928"/>
    <n v="8173"/>
    <n v="4955"/>
    <n v="1676"/>
    <n v="74"/>
    <x v="3"/>
    <n v="1"/>
    <x v="7"/>
  </r>
  <r>
    <x v="825"/>
    <x v="2"/>
    <n v="9662"/>
    <n v="6238"/>
    <n v="5685"/>
    <n v="2535"/>
    <n v="889"/>
    <n v="21"/>
    <x v="4"/>
    <n v="8"/>
    <x v="2"/>
  </r>
  <r>
    <x v="826"/>
    <x v="2"/>
    <n v="7293"/>
    <n v="5792"/>
    <n v="8897"/>
    <n v="1252"/>
    <n v="249"/>
    <n v="67"/>
    <x v="4"/>
    <n v="8"/>
    <x v="4"/>
  </r>
  <r>
    <x v="522"/>
    <x v="1"/>
    <n v="4522"/>
    <n v="100"/>
    <n v="7945"/>
    <n v="3803"/>
    <n v="619"/>
    <n v="69"/>
    <x v="0"/>
    <n v="5"/>
    <x v="0"/>
  </r>
  <r>
    <x v="579"/>
    <x v="0"/>
    <n v="6828"/>
    <n v="4400"/>
    <n v="4074"/>
    <n v="1596"/>
    <n v="832"/>
    <n v="40"/>
    <x v="0"/>
    <n v="3"/>
    <x v="9"/>
  </r>
  <r>
    <x v="99"/>
    <x v="0"/>
    <n v="7912"/>
    <n v="4649"/>
    <n v="7995"/>
    <n v="2620"/>
    <n v="643"/>
    <n v="110"/>
    <x v="1"/>
    <n v="2"/>
    <x v="9"/>
  </r>
  <r>
    <x v="827"/>
    <x v="3"/>
    <n v="5960"/>
    <n v="2034"/>
    <n v="9029"/>
    <n v="2439"/>
    <n v="1487"/>
    <n v="44"/>
    <x v="4"/>
    <n v="3"/>
    <x v="5"/>
  </r>
  <r>
    <x v="211"/>
    <x v="2"/>
    <n v="5254"/>
    <n v="1545"/>
    <n v="4322"/>
    <n v="2470"/>
    <n v="1239"/>
    <n v="104"/>
    <x v="4"/>
    <n v="9"/>
    <x v="4"/>
  </r>
  <r>
    <x v="403"/>
    <x v="2"/>
    <n v="2909"/>
    <n v="-1767"/>
    <n v="6449"/>
    <n v="3595"/>
    <n v="1081"/>
    <n v="10"/>
    <x v="1"/>
    <n v="10"/>
    <x v="9"/>
  </r>
  <r>
    <x v="493"/>
    <x v="0"/>
    <n v="2400"/>
    <n v="-926"/>
    <n v="5890"/>
    <n v="1448"/>
    <n v="1878"/>
    <n v="95"/>
    <x v="0"/>
    <n v="3"/>
    <x v="9"/>
  </r>
  <r>
    <x v="69"/>
    <x v="1"/>
    <n v="2521"/>
    <n v="-591"/>
    <n v="5336"/>
    <n v="1158"/>
    <n v="1954"/>
    <n v="102"/>
    <x v="0"/>
    <n v="9"/>
    <x v="10"/>
  </r>
  <r>
    <x v="828"/>
    <x v="0"/>
    <n v="10234"/>
    <n v="7258"/>
    <n v="9179"/>
    <n v="1916"/>
    <n v="1060"/>
    <n v="58"/>
    <x v="1"/>
    <n v="7"/>
    <x v="6"/>
  </r>
  <r>
    <x v="829"/>
    <x v="0"/>
    <n v="6437"/>
    <n v="180"/>
    <n v="5964"/>
    <n v="4657"/>
    <n v="1600"/>
    <n v="112"/>
    <x v="2"/>
    <n v="9"/>
    <x v="7"/>
  </r>
  <r>
    <x v="830"/>
    <x v="2"/>
    <n v="10539"/>
    <n v="7957"/>
    <n v="5704"/>
    <n v="1833"/>
    <n v="749"/>
    <n v="56"/>
    <x v="3"/>
    <n v="6"/>
    <x v="5"/>
  </r>
  <r>
    <x v="831"/>
    <x v="2"/>
    <n v="3763"/>
    <n v="-783"/>
    <n v="6738"/>
    <n v="2765"/>
    <n v="1781"/>
    <n v="90"/>
    <x v="0"/>
    <n v="7"/>
    <x v="8"/>
  </r>
  <r>
    <x v="810"/>
    <x v="2"/>
    <n v="5852"/>
    <n v="2924"/>
    <n v="5245"/>
    <n v="2559"/>
    <n v="369"/>
    <n v="60"/>
    <x v="1"/>
    <n v="7"/>
    <x v="8"/>
  </r>
  <r>
    <x v="155"/>
    <x v="2"/>
    <n v="8765"/>
    <n v="4414"/>
    <n v="7968"/>
    <n v="3118"/>
    <n v="1233"/>
    <n v="27"/>
    <x v="1"/>
    <n v="4"/>
    <x v="0"/>
  </r>
  <r>
    <x v="832"/>
    <x v="0"/>
    <n v="7534"/>
    <n v="3433"/>
    <n v="5837"/>
    <n v="2869"/>
    <n v="1232"/>
    <n v="10"/>
    <x v="0"/>
    <n v="8"/>
    <x v="11"/>
  </r>
  <r>
    <x v="384"/>
    <x v="1"/>
    <n v="9624"/>
    <n v="6167"/>
    <n v="8839"/>
    <n v="2653"/>
    <n v="804"/>
    <n v="84"/>
    <x v="4"/>
    <n v="6"/>
    <x v="10"/>
  </r>
  <r>
    <x v="11"/>
    <x v="3"/>
    <n v="5346"/>
    <n v="-1052"/>
    <n v="7058"/>
    <n v="4954"/>
    <n v="1444"/>
    <n v="116"/>
    <x v="2"/>
    <n v="6"/>
    <x v="8"/>
  </r>
  <r>
    <x v="379"/>
    <x v="2"/>
    <n v="9709"/>
    <n v="5191"/>
    <n v="9700"/>
    <n v="4212"/>
    <n v="306"/>
    <n v="39"/>
    <x v="0"/>
    <n v="3"/>
    <x v="3"/>
  </r>
  <r>
    <x v="547"/>
    <x v="2"/>
    <n v="3017"/>
    <n v="-2809"/>
    <n v="9762"/>
    <n v="4503"/>
    <n v="1323"/>
    <n v="77"/>
    <x v="4"/>
    <n v="2"/>
    <x v="11"/>
  </r>
  <r>
    <x v="689"/>
    <x v="1"/>
    <n v="8820"/>
    <n v="4885"/>
    <n v="4214"/>
    <n v="3349"/>
    <n v="586"/>
    <n v="41"/>
    <x v="0"/>
    <n v="5"/>
    <x v="8"/>
  </r>
  <r>
    <x v="148"/>
    <x v="3"/>
    <n v="7405"/>
    <n v="1884"/>
    <n v="8192"/>
    <n v="4451"/>
    <n v="1070"/>
    <n v="49"/>
    <x v="4"/>
    <n v="10"/>
    <x v="10"/>
  </r>
  <r>
    <x v="596"/>
    <x v="0"/>
    <n v="10932"/>
    <n v="7409"/>
    <n v="5238"/>
    <n v="1632"/>
    <n v="1891"/>
    <n v="45"/>
    <x v="4"/>
    <n v="6"/>
    <x v="3"/>
  </r>
  <r>
    <x v="833"/>
    <x v="1"/>
    <n v="5786"/>
    <n v="72"/>
    <n v="8448"/>
    <n v="4565"/>
    <n v="1149"/>
    <n v="104"/>
    <x v="3"/>
    <n v="6"/>
    <x v="3"/>
  </r>
  <r>
    <x v="226"/>
    <x v="2"/>
    <n v="4077"/>
    <n v="2026"/>
    <n v="6044"/>
    <n v="1754"/>
    <n v="297"/>
    <n v="80"/>
    <x v="4"/>
    <n v="6"/>
    <x v="8"/>
  </r>
  <r>
    <x v="834"/>
    <x v="3"/>
    <n v="11113"/>
    <n v="5020"/>
    <n v="6140"/>
    <n v="4214"/>
    <n v="1879"/>
    <n v="40"/>
    <x v="0"/>
    <n v="7"/>
    <x v="9"/>
  </r>
  <r>
    <x v="835"/>
    <x v="3"/>
    <n v="4099"/>
    <n v="2278"/>
    <n v="6778"/>
    <n v="1476"/>
    <n v="345"/>
    <n v="33"/>
    <x v="0"/>
    <n v="6"/>
    <x v="11"/>
  </r>
  <r>
    <x v="478"/>
    <x v="0"/>
    <n v="7582"/>
    <n v="3046"/>
    <n v="5420"/>
    <n v="4083"/>
    <n v="453"/>
    <n v="96"/>
    <x v="4"/>
    <n v="5"/>
    <x v="7"/>
  </r>
  <r>
    <x v="836"/>
    <x v="3"/>
    <n v="5034"/>
    <n v="1007"/>
    <n v="7263"/>
    <n v="2901"/>
    <n v="1126"/>
    <n v="63"/>
    <x v="3"/>
    <n v="1"/>
    <x v="9"/>
  </r>
  <r>
    <x v="723"/>
    <x v="0"/>
    <n v="3205"/>
    <n v="-2493"/>
    <n v="9100"/>
    <n v="4516"/>
    <n v="1182"/>
    <n v="30"/>
    <x v="0"/>
    <n v="8"/>
    <x v="8"/>
  </r>
  <r>
    <x v="223"/>
    <x v="3"/>
    <n v="9597"/>
    <n v="4937"/>
    <n v="4198"/>
    <n v="4337"/>
    <n v="323"/>
    <n v="27"/>
    <x v="3"/>
    <n v="5"/>
    <x v="8"/>
  </r>
  <r>
    <x v="2"/>
    <x v="2"/>
    <n v="8884"/>
    <n v="6120"/>
    <n v="8550"/>
    <n v="1028"/>
    <n v="1736"/>
    <n v="59"/>
    <x v="3"/>
    <n v="8"/>
    <x v="1"/>
  </r>
  <r>
    <x v="837"/>
    <x v="1"/>
    <n v="7899"/>
    <n v="5151"/>
    <n v="7406"/>
    <n v="1809"/>
    <n v="939"/>
    <n v="50"/>
    <x v="3"/>
    <n v="3"/>
    <x v="0"/>
  </r>
  <r>
    <x v="838"/>
    <x v="1"/>
    <n v="5609"/>
    <n v="3361"/>
    <n v="6691"/>
    <n v="1226"/>
    <n v="1022"/>
    <n v="82"/>
    <x v="0"/>
    <n v="9"/>
    <x v="4"/>
  </r>
  <r>
    <x v="839"/>
    <x v="2"/>
    <n v="5568"/>
    <n v="-356"/>
    <n v="4926"/>
    <n v="4747"/>
    <n v="1177"/>
    <n v="67"/>
    <x v="0"/>
    <n v="3"/>
    <x v="7"/>
  </r>
  <r>
    <x v="840"/>
    <x v="1"/>
    <n v="5635"/>
    <n v="2271"/>
    <n v="7395"/>
    <n v="3122"/>
    <n v="242"/>
    <n v="32"/>
    <x v="0"/>
    <n v="1"/>
    <x v="8"/>
  </r>
  <r>
    <x v="841"/>
    <x v="2"/>
    <n v="8681"/>
    <n v="4530"/>
    <n v="4532"/>
    <n v="3523"/>
    <n v="628"/>
    <n v="115"/>
    <x v="0"/>
    <n v="1"/>
    <x v="2"/>
  </r>
  <r>
    <x v="757"/>
    <x v="2"/>
    <n v="11803"/>
    <n v="8910"/>
    <n v="4383"/>
    <n v="1339"/>
    <n v="1554"/>
    <n v="18"/>
    <x v="4"/>
    <n v="1"/>
    <x v="4"/>
  </r>
  <r>
    <x v="842"/>
    <x v="2"/>
    <n v="5187"/>
    <n v="1379"/>
    <n v="5875"/>
    <n v="2840"/>
    <n v="968"/>
    <n v="50"/>
    <x v="1"/>
    <n v="9"/>
    <x v="5"/>
  </r>
  <r>
    <x v="177"/>
    <x v="1"/>
    <n v="2504"/>
    <n v="-2362"/>
    <n v="6222"/>
    <n v="4070"/>
    <n v="796"/>
    <n v="65"/>
    <x v="2"/>
    <n v="4"/>
    <x v="5"/>
  </r>
  <r>
    <x v="555"/>
    <x v="2"/>
    <n v="9854"/>
    <n v="8574"/>
    <n v="9775"/>
    <n v="1020"/>
    <n v="260"/>
    <n v="97"/>
    <x v="4"/>
    <n v="6"/>
    <x v="10"/>
  </r>
  <r>
    <x v="711"/>
    <x v="1"/>
    <n v="4458"/>
    <n v="752"/>
    <n v="8275"/>
    <n v="2211"/>
    <n v="1495"/>
    <n v="68"/>
    <x v="4"/>
    <n v="9"/>
    <x v="4"/>
  </r>
  <r>
    <x v="801"/>
    <x v="3"/>
    <n v="5532"/>
    <n v="2469"/>
    <n v="7049"/>
    <n v="2599"/>
    <n v="464"/>
    <n v="78"/>
    <x v="3"/>
    <n v="3"/>
    <x v="7"/>
  </r>
  <r>
    <x v="843"/>
    <x v="1"/>
    <n v="2150"/>
    <n v="-3558"/>
    <n v="7349"/>
    <n v="4750"/>
    <n v="958"/>
    <n v="12"/>
    <x v="0"/>
    <n v="9"/>
    <x v="9"/>
  </r>
  <r>
    <x v="671"/>
    <x v="1"/>
    <n v="9294"/>
    <n v="5981"/>
    <n v="4405"/>
    <n v="1497"/>
    <n v="1816"/>
    <n v="108"/>
    <x v="3"/>
    <n v="9"/>
    <x v="4"/>
  </r>
  <r>
    <x v="609"/>
    <x v="2"/>
    <n v="2749"/>
    <n v="-939"/>
    <n v="9451"/>
    <n v="2385"/>
    <n v="1303"/>
    <n v="71"/>
    <x v="3"/>
    <n v="10"/>
    <x v="9"/>
  </r>
  <r>
    <x v="115"/>
    <x v="2"/>
    <n v="8958"/>
    <n v="4434"/>
    <n v="6018"/>
    <n v="3391"/>
    <n v="1133"/>
    <n v="99"/>
    <x v="1"/>
    <n v="6"/>
    <x v="11"/>
  </r>
  <r>
    <x v="19"/>
    <x v="0"/>
    <n v="5532"/>
    <n v="3061"/>
    <n v="8565"/>
    <n v="1124"/>
    <n v="1347"/>
    <n v="91"/>
    <x v="3"/>
    <n v="7"/>
    <x v="2"/>
  </r>
  <r>
    <x v="844"/>
    <x v="0"/>
    <n v="5760"/>
    <n v="2620"/>
    <n v="4235"/>
    <n v="1294"/>
    <n v="1846"/>
    <n v="17"/>
    <x v="3"/>
    <n v="5"/>
    <x v="3"/>
  </r>
  <r>
    <x v="218"/>
    <x v="1"/>
    <n v="10229"/>
    <n v="7675"/>
    <n v="4353"/>
    <n v="1139"/>
    <n v="1415"/>
    <n v="85"/>
    <x v="0"/>
    <n v="10"/>
    <x v="2"/>
  </r>
  <r>
    <x v="845"/>
    <x v="2"/>
    <n v="8539"/>
    <n v="5462"/>
    <n v="8230"/>
    <n v="2034"/>
    <n v="1043"/>
    <n v="108"/>
    <x v="2"/>
    <n v="2"/>
    <x v="11"/>
  </r>
  <r>
    <x v="846"/>
    <x v="2"/>
    <n v="9381"/>
    <n v="6570"/>
    <n v="7660"/>
    <n v="1256"/>
    <n v="1555"/>
    <n v="23"/>
    <x v="2"/>
    <n v="9"/>
    <x v="3"/>
  </r>
  <r>
    <x v="684"/>
    <x v="1"/>
    <n v="11888"/>
    <n v="8581"/>
    <n v="6452"/>
    <n v="1866"/>
    <n v="1441"/>
    <n v="60"/>
    <x v="3"/>
    <n v="8"/>
    <x v="10"/>
  </r>
  <r>
    <x v="847"/>
    <x v="3"/>
    <n v="3571"/>
    <n v="2126"/>
    <n v="5998"/>
    <n v="941"/>
    <n v="504"/>
    <n v="116"/>
    <x v="0"/>
    <n v="7"/>
    <x v="1"/>
  </r>
  <r>
    <x v="205"/>
    <x v="0"/>
    <n v="9599"/>
    <n v="3787"/>
    <n v="4475"/>
    <n v="4773"/>
    <n v="1039"/>
    <n v="76"/>
    <x v="1"/>
    <n v="10"/>
    <x v="2"/>
  </r>
  <r>
    <x v="736"/>
    <x v="1"/>
    <n v="8881"/>
    <n v="6442"/>
    <n v="7762"/>
    <n v="899"/>
    <n v="1540"/>
    <n v="33"/>
    <x v="1"/>
    <n v="1"/>
    <x v="9"/>
  </r>
  <r>
    <x v="466"/>
    <x v="1"/>
    <n v="6580"/>
    <n v="3355"/>
    <n v="4644"/>
    <n v="2335"/>
    <n v="890"/>
    <n v="111"/>
    <x v="0"/>
    <n v="5"/>
    <x v="2"/>
  </r>
  <r>
    <x v="722"/>
    <x v="3"/>
    <n v="2132"/>
    <n v="-1306"/>
    <n v="7684"/>
    <n v="1659"/>
    <n v="1779"/>
    <n v="66"/>
    <x v="2"/>
    <n v="9"/>
    <x v="5"/>
  </r>
  <r>
    <x v="598"/>
    <x v="2"/>
    <n v="11475"/>
    <n v="9910"/>
    <n v="4605"/>
    <n v="836"/>
    <n v="729"/>
    <n v="92"/>
    <x v="3"/>
    <n v="6"/>
    <x v="11"/>
  </r>
  <r>
    <x v="848"/>
    <x v="2"/>
    <n v="10751"/>
    <n v="8980"/>
    <n v="7320"/>
    <n v="890"/>
    <n v="881"/>
    <n v="80"/>
    <x v="3"/>
    <n v="1"/>
    <x v="6"/>
  </r>
  <r>
    <x v="849"/>
    <x v="2"/>
    <n v="7308"/>
    <n v="3355"/>
    <n v="4796"/>
    <n v="3108"/>
    <n v="845"/>
    <n v="61"/>
    <x v="1"/>
    <n v="6"/>
    <x v="11"/>
  </r>
  <r>
    <x v="759"/>
    <x v="1"/>
    <n v="3133"/>
    <n v="-3032"/>
    <n v="7526"/>
    <n v="4173"/>
    <n v="1992"/>
    <n v="58"/>
    <x v="1"/>
    <n v="2"/>
    <x v="1"/>
  </r>
  <r>
    <x v="655"/>
    <x v="0"/>
    <n v="6465"/>
    <n v="3265"/>
    <n v="6956"/>
    <n v="2108"/>
    <n v="1092"/>
    <n v="17"/>
    <x v="0"/>
    <n v="1"/>
    <x v="2"/>
  </r>
  <r>
    <x v="850"/>
    <x v="2"/>
    <n v="7066"/>
    <n v="949"/>
    <n v="9025"/>
    <n v="4212"/>
    <n v="1905"/>
    <n v="26"/>
    <x v="2"/>
    <n v="2"/>
    <x v="4"/>
  </r>
  <r>
    <x v="27"/>
    <x v="2"/>
    <n v="3180"/>
    <n v="-40"/>
    <n v="4306"/>
    <n v="1955"/>
    <n v="1265"/>
    <n v="45"/>
    <x v="3"/>
    <n v="8"/>
    <x v="4"/>
  </r>
  <r>
    <x v="851"/>
    <x v="2"/>
    <n v="9496"/>
    <n v="6353"/>
    <n v="8932"/>
    <n v="1910"/>
    <n v="1233"/>
    <n v="28"/>
    <x v="4"/>
    <n v="3"/>
    <x v="6"/>
  </r>
  <r>
    <x v="473"/>
    <x v="1"/>
    <n v="2432"/>
    <n v="-1000"/>
    <n v="9232"/>
    <n v="1800"/>
    <n v="1632"/>
    <n v="116"/>
    <x v="2"/>
    <n v="3"/>
    <x v="0"/>
  </r>
  <r>
    <x v="80"/>
    <x v="3"/>
    <n v="6381"/>
    <n v="2259"/>
    <n v="7023"/>
    <n v="2838"/>
    <n v="1284"/>
    <n v="105"/>
    <x v="2"/>
    <n v="8"/>
    <x v="7"/>
  </r>
  <r>
    <x v="27"/>
    <x v="1"/>
    <n v="7969"/>
    <n v="2471"/>
    <n v="7817"/>
    <n v="4196"/>
    <n v="1302"/>
    <n v="108"/>
    <x v="0"/>
    <n v="6"/>
    <x v="4"/>
  </r>
  <r>
    <x v="852"/>
    <x v="1"/>
    <n v="4176"/>
    <n v="2591"/>
    <n v="5942"/>
    <n v="1081"/>
    <n v="504"/>
    <n v="117"/>
    <x v="2"/>
    <n v="2"/>
    <x v="10"/>
  </r>
  <r>
    <x v="853"/>
    <x v="0"/>
    <n v="4229"/>
    <n v="-778"/>
    <n v="7701"/>
    <n v="4181"/>
    <n v="826"/>
    <n v="21"/>
    <x v="4"/>
    <n v="5"/>
    <x v="3"/>
  </r>
  <r>
    <x v="854"/>
    <x v="3"/>
    <n v="4340"/>
    <n v="-911"/>
    <n v="8750"/>
    <n v="4365"/>
    <n v="886"/>
    <n v="52"/>
    <x v="0"/>
    <n v="9"/>
    <x v="3"/>
  </r>
  <r>
    <x v="734"/>
    <x v="0"/>
    <n v="11842"/>
    <n v="8636"/>
    <n v="4970"/>
    <n v="1808"/>
    <n v="1398"/>
    <n v="11"/>
    <x v="3"/>
    <n v="6"/>
    <x v="0"/>
  </r>
  <r>
    <x v="262"/>
    <x v="2"/>
    <n v="2065"/>
    <n v="-931"/>
    <n v="8137"/>
    <n v="2308"/>
    <n v="688"/>
    <n v="86"/>
    <x v="0"/>
    <n v="8"/>
    <x v="9"/>
  </r>
  <r>
    <x v="159"/>
    <x v="0"/>
    <n v="2720"/>
    <n v="-1648"/>
    <n v="7007"/>
    <n v="3220"/>
    <n v="1148"/>
    <n v="51"/>
    <x v="3"/>
    <n v="7"/>
    <x v="9"/>
  </r>
  <r>
    <x v="855"/>
    <x v="3"/>
    <n v="9565"/>
    <n v="4924"/>
    <n v="5050"/>
    <n v="3952"/>
    <n v="689"/>
    <n v="48"/>
    <x v="0"/>
    <n v="7"/>
    <x v="2"/>
  </r>
  <r>
    <x v="277"/>
    <x v="2"/>
    <n v="8508"/>
    <n v="3493"/>
    <n v="6742"/>
    <n v="3549"/>
    <n v="1466"/>
    <n v="71"/>
    <x v="2"/>
    <n v="3"/>
    <x v="9"/>
  </r>
  <r>
    <x v="856"/>
    <x v="1"/>
    <n v="10221"/>
    <n v="6166"/>
    <n v="8379"/>
    <n v="3551"/>
    <n v="504"/>
    <n v="21"/>
    <x v="2"/>
    <n v="6"/>
    <x v="7"/>
  </r>
  <r>
    <x v="109"/>
    <x v="0"/>
    <n v="3870"/>
    <n v="-2905"/>
    <n v="6624"/>
    <n v="4985"/>
    <n v="1790"/>
    <n v="103"/>
    <x v="3"/>
    <n v="3"/>
    <x v="3"/>
  </r>
  <r>
    <x v="5"/>
    <x v="3"/>
    <n v="8807"/>
    <n v="4013"/>
    <n v="6303"/>
    <n v="2971"/>
    <n v="1823"/>
    <n v="118"/>
    <x v="0"/>
    <n v="7"/>
    <x v="4"/>
  </r>
  <r>
    <x v="857"/>
    <x v="3"/>
    <n v="8585"/>
    <n v="5057"/>
    <n v="5333"/>
    <n v="2390"/>
    <n v="1138"/>
    <n v="59"/>
    <x v="0"/>
    <n v="10"/>
    <x v="9"/>
  </r>
  <r>
    <x v="858"/>
    <x v="2"/>
    <n v="6191"/>
    <n v="3946"/>
    <n v="5642"/>
    <n v="1740"/>
    <n v="505"/>
    <n v="51"/>
    <x v="1"/>
    <n v="6"/>
    <x v="5"/>
  </r>
  <r>
    <x v="158"/>
    <x v="3"/>
    <n v="7472"/>
    <n v="2829"/>
    <n v="4772"/>
    <n v="4223"/>
    <n v="420"/>
    <n v="72"/>
    <x v="2"/>
    <n v="5"/>
    <x v="1"/>
  </r>
  <r>
    <x v="461"/>
    <x v="3"/>
    <n v="11531"/>
    <n v="6454"/>
    <n v="8754"/>
    <n v="3637"/>
    <n v="1440"/>
    <n v="80"/>
    <x v="1"/>
    <n v="7"/>
    <x v="2"/>
  </r>
  <r>
    <x v="38"/>
    <x v="3"/>
    <n v="9014"/>
    <n v="3090"/>
    <n v="7781"/>
    <n v="4827"/>
    <n v="1097"/>
    <n v="81"/>
    <x v="3"/>
    <n v="4"/>
    <x v="10"/>
  </r>
  <r>
    <x v="591"/>
    <x v="3"/>
    <n v="7405"/>
    <n v="3021"/>
    <n v="9557"/>
    <n v="3652"/>
    <n v="732"/>
    <n v="16"/>
    <x v="4"/>
    <n v="4"/>
    <x v="1"/>
  </r>
  <r>
    <x v="366"/>
    <x v="2"/>
    <n v="2667"/>
    <n v="-1770"/>
    <n v="6068"/>
    <n v="3927"/>
    <n v="510"/>
    <n v="120"/>
    <x v="3"/>
    <n v="7"/>
    <x v="11"/>
  </r>
  <r>
    <x v="708"/>
    <x v="1"/>
    <n v="3598"/>
    <n v="524"/>
    <n v="4454"/>
    <n v="2395"/>
    <n v="679"/>
    <n v="45"/>
    <x v="4"/>
    <n v="5"/>
    <x v="1"/>
  </r>
  <r>
    <x v="748"/>
    <x v="2"/>
    <n v="4207"/>
    <n v="336"/>
    <n v="5434"/>
    <n v="3642"/>
    <n v="229"/>
    <n v="35"/>
    <x v="1"/>
    <n v="10"/>
    <x v="11"/>
  </r>
  <r>
    <x v="859"/>
    <x v="1"/>
    <n v="4263"/>
    <n v="667"/>
    <n v="4454"/>
    <n v="1638"/>
    <n v="1958"/>
    <n v="109"/>
    <x v="1"/>
    <n v="2"/>
    <x v="7"/>
  </r>
  <r>
    <x v="438"/>
    <x v="1"/>
    <n v="5395"/>
    <n v="1819"/>
    <n v="6188"/>
    <n v="1762"/>
    <n v="1814"/>
    <n v="55"/>
    <x v="2"/>
    <n v="1"/>
    <x v="5"/>
  </r>
  <r>
    <x v="303"/>
    <x v="3"/>
    <n v="10179"/>
    <n v="4737"/>
    <n v="4166"/>
    <n v="4108"/>
    <n v="1334"/>
    <n v="11"/>
    <x v="4"/>
    <n v="7"/>
    <x v="3"/>
  </r>
  <r>
    <x v="860"/>
    <x v="1"/>
    <n v="4010"/>
    <n v="-648"/>
    <n v="7812"/>
    <n v="4113"/>
    <n v="545"/>
    <n v="119"/>
    <x v="3"/>
    <n v="8"/>
    <x v="3"/>
  </r>
  <r>
    <x v="329"/>
    <x v="2"/>
    <n v="2199"/>
    <n v="-1270"/>
    <n v="4236"/>
    <n v="1656"/>
    <n v="1813"/>
    <n v="64"/>
    <x v="0"/>
    <n v="5"/>
    <x v="6"/>
  </r>
  <r>
    <x v="861"/>
    <x v="1"/>
    <n v="4697"/>
    <n v="2270"/>
    <n v="5521"/>
    <n v="1882"/>
    <n v="545"/>
    <n v="101"/>
    <x v="2"/>
    <n v="1"/>
    <x v="3"/>
  </r>
  <r>
    <x v="862"/>
    <x v="2"/>
    <n v="7326"/>
    <n v="2264"/>
    <n v="7600"/>
    <n v="3509"/>
    <n v="1553"/>
    <n v="106"/>
    <x v="3"/>
    <n v="4"/>
    <x v="6"/>
  </r>
  <r>
    <x v="863"/>
    <x v="2"/>
    <n v="7858"/>
    <n v="2319"/>
    <n v="7228"/>
    <n v="3632"/>
    <n v="1907"/>
    <n v="74"/>
    <x v="0"/>
    <n v="5"/>
    <x v="5"/>
  </r>
  <r>
    <x v="21"/>
    <x v="3"/>
    <n v="2655"/>
    <n v="-3438"/>
    <n v="9172"/>
    <n v="4166"/>
    <n v="1927"/>
    <n v="111"/>
    <x v="0"/>
    <n v="4"/>
    <x v="3"/>
  </r>
  <r>
    <x v="485"/>
    <x v="2"/>
    <n v="8097"/>
    <n v="6133"/>
    <n v="5354"/>
    <n v="1658"/>
    <n v="306"/>
    <n v="66"/>
    <x v="0"/>
    <n v="8"/>
    <x v="5"/>
  </r>
  <r>
    <x v="864"/>
    <x v="0"/>
    <n v="3431"/>
    <n v="-2037"/>
    <n v="4488"/>
    <n v="3998"/>
    <n v="1470"/>
    <n v="14"/>
    <x v="3"/>
    <n v="8"/>
    <x v="4"/>
  </r>
  <r>
    <x v="283"/>
    <x v="3"/>
    <n v="4453"/>
    <n v="-1081"/>
    <n v="4980"/>
    <n v="3911"/>
    <n v="1623"/>
    <n v="61"/>
    <x v="2"/>
    <n v="9"/>
    <x v="7"/>
  </r>
  <r>
    <x v="865"/>
    <x v="1"/>
    <n v="9279"/>
    <n v="4412"/>
    <n v="6688"/>
    <n v="4040"/>
    <n v="827"/>
    <n v="115"/>
    <x v="0"/>
    <n v="8"/>
    <x v="11"/>
  </r>
  <r>
    <x v="370"/>
    <x v="0"/>
    <n v="5728"/>
    <n v="1566"/>
    <n v="4685"/>
    <n v="3642"/>
    <n v="520"/>
    <n v="36"/>
    <x v="1"/>
    <n v="6"/>
    <x v="5"/>
  </r>
  <r>
    <x v="755"/>
    <x v="1"/>
    <n v="10471"/>
    <n v="8340"/>
    <n v="6556"/>
    <n v="848"/>
    <n v="1283"/>
    <n v="28"/>
    <x v="1"/>
    <n v="1"/>
    <x v="4"/>
  </r>
  <r>
    <x v="802"/>
    <x v="3"/>
    <n v="4047"/>
    <n v="1751"/>
    <n v="5972"/>
    <n v="802"/>
    <n v="1494"/>
    <n v="78"/>
    <x v="3"/>
    <n v="1"/>
    <x v="10"/>
  </r>
  <r>
    <x v="799"/>
    <x v="0"/>
    <n v="7675"/>
    <n v="2518"/>
    <n v="8448"/>
    <n v="4820"/>
    <n v="337"/>
    <n v="42"/>
    <x v="2"/>
    <n v="10"/>
    <x v="5"/>
  </r>
  <r>
    <x v="695"/>
    <x v="0"/>
    <n v="10012"/>
    <n v="7528"/>
    <n v="9785"/>
    <n v="1745"/>
    <n v="739"/>
    <n v="55"/>
    <x v="4"/>
    <n v="10"/>
    <x v="2"/>
  </r>
  <r>
    <x v="792"/>
    <x v="1"/>
    <n v="7402"/>
    <n v="2783"/>
    <n v="4699"/>
    <n v="3593"/>
    <n v="1026"/>
    <n v="50"/>
    <x v="3"/>
    <n v="8"/>
    <x v="5"/>
  </r>
  <r>
    <x v="866"/>
    <x v="3"/>
    <n v="3304"/>
    <n v="-272"/>
    <n v="7985"/>
    <n v="2342"/>
    <n v="1234"/>
    <n v="36"/>
    <x v="4"/>
    <n v="7"/>
    <x v="3"/>
  </r>
  <r>
    <x v="438"/>
    <x v="1"/>
    <n v="11565"/>
    <n v="9210"/>
    <n v="6610"/>
    <n v="1264"/>
    <n v="1091"/>
    <n v="51"/>
    <x v="2"/>
    <n v="5"/>
    <x v="5"/>
  </r>
  <r>
    <x v="796"/>
    <x v="2"/>
    <n v="10237"/>
    <n v="7103"/>
    <n v="7555"/>
    <n v="2268"/>
    <n v="866"/>
    <n v="70"/>
    <x v="1"/>
    <n v="3"/>
    <x v="9"/>
  </r>
  <r>
    <x v="264"/>
    <x v="2"/>
    <n v="2773"/>
    <n v="449"/>
    <n v="8923"/>
    <n v="1601"/>
    <n v="723"/>
    <n v="42"/>
    <x v="3"/>
    <n v="9"/>
    <x v="11"/>
  </r>
  <r>
    <x v="867"/>
    <x v="0"/>
    <n v="5229"/>
    <n v="1708"/>
    <n v="5767"/>
    <n v="2066"/>
    <n v="1455"/>
    <n v="103"/>
    <x v="3"/>
    <n v="2"/>
    <x v="1"/>
  </r>
  <r>
    <x v="627"/>
    <x v="3"/>
    <n v="8962"/>
    <n v="4397"/>
    <n v="5600"/>
    <n v="3348"/>
    <n v="1217"/>
    <n v="46"/>
    <x v="3"/>
    <n v="1"/>
    <x v="10"/>
  </r>
  <r>
    <x v="475"/>
    <x v="2"/>
    <n v="10939"/>
    <n v="6270"/>
    <n v="4708"/>
    <n v="4020"/>
    <n v="649"/>
    <n v="25"/>
    <x v="1"/>
    <n v="10"/>
    <x v="5"/>
  </r>
  <r>
    <x v="28"/>
    <x v="0"/>
    <n v="6215"/>
    <n v="3288"/>
    <n v="8714"/>
    <n v="2084"/>
    <n v="843"/>
    <n v="61"/>
    <x v="0"/>
    <n v="2"/>
    <x v="3"/>
  </r>
  <r>
    <x v="473"/>
    <x v="2"/>
    <n v="10828"/>
    <n v="6970"/>
    <n v="9102"/>
    <n v="2672"/>
    <n v="1186"/>
    <n v="17"/>
    <x v="3"/>
    <n v="6"/>
    <x v="0"/>
  </r>
  <r>
    <x v="543"/>
    <x v="2"/>
    <n v="5369"/>
    <n v="2343"/>
    <n v="4562"/>
    <n v="1336"/>
    <n v="1690"/>
    <n v="72"/>
    <x v="3"/>
    <n v="10"/>
    <x v="8"/>
  </r>
  <r>
    <x v="709"/>
    <x v="3"/>
    <n v="7410"/>
    <n v="2105"/>
    <n v="9795"/>
    <n v="4096"/>
    <n v="1209"/>
    <n v="11"/>
    <x v="3"/>
    <n v="3"/>
    <x v="3"/>
  </r>
  <r>
    <x v="659"/>
    <x v="3"/>
    <n v="7533"/>
    <n v="2665"/>
    <n v="7457"/>
    <n v="4339"/>
    <n v="529"/>
    <n v="51"/>
    <x v="1"/>
    <n v="3"/>
    <x v="3"/>
  </r>
  <r>
    <x v="767"/>
    <x v="1"/>
    <n v="5720"/>
    <n v="2096"/>
    <n v="9124"/>
    <n v="1719"/>
    <n v="1905"/>
    <n v="100"/>
    <x v="0"/>
    <n v="9"/>
    <x v="6"/>
  </r>
  <r>
    <x v="868"/>
    <x v="0"/>
    <n v="7605"/>
    <n v="3792"/>
    <n v="8136"/>
    <n v="3299"/>
    <n v="514"/>
    <n v="106"/>
    <x v="1"/>
    <n v="1"/>
    <x v="0"/>
  </r>
  <r>
    <x v="249"/>
    <x v="0"/>
    <n v="4007"/>
    <n v="321"/>
    <n v="5307"/>
    <n v="2207"/>
    <n v="1479"/>
    <n v="73"/>
    <x v="0"/>
    <n v="10"/>
    <x v="3"/>
  </r>
  <r>
    <x v="249"/>
    <x v="0"/>
    <n v="4528"/>
    <n v="-835"/>
    <n v="7407"/>
    <n v="3478"/>
    <n v="1885"/>
    <n v="24"/>
    <x v="2"/>
    <n v="4"/>
    <x v="3"/>
  </r>
  <r>
    <x v="462"/>
    <x v="2"/>
    <n v="5490"/>
    <n v="3498"/>
    <n v="4448"/>
    <n v="1708"/>
    <n v="284"/>
    <n v="98"/>
    <x v="4"/>
    <n v="4"/>
    <x v="6"/>
  </r>
  <r>
    <x v="538"/>
    <x v="0"/>
    <n v="4534"/>
    <n v="-709"/>
    <n v="9264"/>
    <n v="3889"/>
    <n v="1354"/>
    <n v="56"/>
    <x v="0"/>
    <n v="8"/>
    <x v="1"/>
  </r>
  <r>
    <x v="869"/>
    <x v="3"/>
    <n v="5053"/>
    <n v="3578"/>
    <n v="8981"/>
    <n v="1263"/>
    <n v="212"/>
    <n v="91"/>
    <x v="4"/>
    <n v="3"/>
    <x v="5"/>
  </r>
  <r>
    <x v="870"/>
    <x v="2"/>
    <n v="3200"/>
    <n v="1432"/>
    <n v="9582"/>
    <n v="1143"/>
    <n v="625"/>
    <n v="96"/>
    <x v="0"/>
    <n v="1"/>
    <x v="11"/>
  </r>
  <r>
    <x v="871"/>
    <x v="2"/>
    <n v="2982"/>
    <n v="-208"/>
    <n v="7644"/>
    <n v="2849"/>
    <n v="341"/>
    <n v="11"/>
    <x v="1"/>
    <n v="9"/>
    <x v="3"/>
  </r>
  <r>
    <x v="712"/>
    <x v="1"/>
    <n v="9985"/>
    <n v="7293"/>
    <n v="7671"/>
    <n v="1056"/>
    <n v="1636"/>
    <n v="79"/>
    <x v="3"/>
    <n v="10"/>
    <x v="6"/>
  </r>
  <r>
    <x v="134"/>
    <x v="1"/>
    <n v="2779"/>
    <n v="-902"/>
    <n v="8020"/>
    <n v="2066"/>
    <n v="1615"/>
    <n v="40"/>
    <x v="3"/>
    <n v="2"/>
    <x v="2"/>
  </r>
  <r>
    <x v="872"/>
    <x v="1"/>
    <n v="7463"/>
    <n v="2893"/>
    <n v="5470"/>
    <n v="2960"/>
    <n v="1610"/>
    <n v="95"/>
    <x v="1"/>
    <n v="6"/>
    <x v="8"/>
  </r>
  <r>
    <x v="873"/>
    <x v="2"/>
    <n v="8006"/>
    <n v="4126"/>
    <n v="8779"/>
    <n v="2481"/>
    <n v="1399"/>
    <n v="24"/>
    <x v="4"/>
    <n v="4"/>
    <x v="10"/>
  </r>
  <r>
    <x v="455"/>
    <x v="3"/>
    <n v="4108"/>
    <n v="-305"/>
    <n v="4841"/>
    <n v="3293"/>
    <n v="1120"/>
    <n v="93"/>
    <x v="3"/>
    <n v="5"/>
    <x v="10"/>
  </r>
  <r>
    <x v="874"/>
    <x v="3"/>
    <n v="8699"/>
    <n v="6805"/>
    <n v="5153"/>
    <n v="1320"/>
    <n v="574"/>
    <n v="64"/>
    <x v="2"/>
    <n v="9"/>
    <x v="10"/>
  </r>
  <r>
    <x v="544"/>
    <x v="2"/>
    <n v="3178"/>
    <n v="-1886"/>
    <n v="4612"/>
    <n v="3974"/>
    <n v="1090"/>
    <n v="15"/>
    <x v="1"/>
    <n v="8"/>
    <x v="11"/>
  </r>
  <r>
    <x v="252"/>
    <x v="0"/>
    <n v="2985"/>
    <n v="278"/>
    <n v="8470"/>
    <n v="1385"/>
    <n v="1322"/>
    <n v="60"/>
    <x v="0"/>
    <n v="5"/>
    <x v="6"/>
  </r>
  <r>
    <x v="813"/>
    <x v="2"/>
    <n v="10387"/>
    <n v="7300"/>
    <n v="5631"/>
    <n v="1781"/>
    <n v="1306"/>
    <n v="52"/>
    <x v="4"/>
    <n v="4"/>
    <x v="6"/>
  </r>
  <r>
    <x v="875"/>
    <x v="2"/>
    <n v="6850"/>
    <n v="3081"/>
    <n v="4582"/>
    <n v="1800"/>
    <n v="1969"/>
    <n v="29"/>
    <x v="3"/>
    <n v="10"/>
    <x v="6"/>
  </r>
  <r>
    <x v="876"/>
    <x v="0"/>
    <n v="11427"/>
    <n v="6885"/>
    <n v="5900"/>
    <n v="3100"/>
    <n v="1442"/>
    <n v="57"/>
    <x v="1"/>
    <n v="10"/>
    <x v="1"/>
  </r>
  <r>
    <x v="797"/>
    <x v="0"/>
    <n v="4945"/>
    <n v="259"/>
    <n v="8892"/>
    <n v="3926"/>
    <n v="760"/>
    <n v="90"/>
    <x v="2"/>
    <n v="7"/>
    <x v="3"/>
  </r>
  <r>
    <x v="877"/>
    <x v="2"/>
    <n v="10220"/>
    <n v="4713"/>
    <n v="8564"/>
    <n v="4196"/>
    <n v="1311"/>
    <n v="77"/>
    <x v="0"/>
    <n v="7"/>
    <x v="1"/>
  </r>
  <r>
    <x v="476"/>
    <x v="0"/>
    <n v="10124"/>
    <n v="7496"/>
    <n v="4336"/>
    <n v="1678"/>
    <n v="950"/>
    <n v="81"/>
    <x v="0"/>
    <n v="9"/>
    <x v="3"/>
  </r>
  <r>
    <x v="644"/>
    <x v="1"/>
    <n v="2395"/>
    <n v="-671"/>
    <n v="5699"/>
    <n v="1756"/>
    <n v="1310"/>
    <n v="96"/>
    <x v="0"/>
    <n v="7"/>
    <x v="5"/>
  </r>
  <r>
    <x v="635"/>
    <x v="3"/>
    <n v="9023"/>
    <n v="3817"/>
    <n v="6886"/>
    <n v="4696"/>
    <n v="510"/>
    <n v="30"/>
    <x v="0"/>
    <n v="2"/>
    <x v="10"/>
  </r>
  <r>
    <x v="878"/>
    <x v="3"/>
    <n v="2819"/>
    <n v="-1574"/>
    <n v="6243"/>
    <n v="3774"/>
    <n v="619"/>
    <n v="76"/>
    <x v="1"/>
    <n v="2"/>
    <x v="8"/>
  </r>
  <r>
    <x v="452"/>
    <x v="3"/>
    <n v="10391"/>
    <n v="4171"/>
    <n v="8831"/>
    <n v="4381"/>
    <n v="1839"/>
    <n v="22"/>
    <x v="3"/>
    <n v="1"/>
    <x v="1"/>
  </r>
  <r>
    <x v="21"/>
    <x v="1"/>
    <n v="11054"/>
    <n v="4859"/>
    <n v="9471"/>
    <n v="4986"/>
    <n v="1209"/>
    <n v="42"/>
    <x v="3"/>
    <n v="8"/>
    <x v="3"/>
  </r>
  <r>
    <x v="612"/>
    <x v="2"/>
    <n v="7575"/>
    <n v="4974"/>
    <n v="9381"/>
    <n v="2397"/>
    <n v="204"/>
    <n v="65"/>
    <x v="2"/>
    <n v="5"/>
    <x v="6"/>
  </r>
  <r>
    <x v="879"/>
    <x v="3"/>
    <n v="5278"/>
    <n v="2380"/>
    <n v="7224"/>
    <n v="2348"/>
    <n v="550"/>
    <n v="111"/>
    <x v="0"/>
    <n v="4"/>
    <x v="10"/>
  </r>
  <r>
    <x v="504"/>
    <x v="1"/>
    <n v="9206"/>
    <n v="5847"/>
    <n v="7573"/>
    <n v="2485"/>
    <n v="874"/>
    <n v="90"/>
    <x v="0"/>
    <n v="1"/>
    <x v="8"/>
  </r>
  <r>
    <x v="145"/>
    <x v="0"/>
    <n v="9311"/>
    <n v="3490"/>
    <n v="7027"/>
    <n v="4987"/>
    <n v="834"/>
    <n v="106"/>
    <x v="2"/>
    <n v="8"/>
    <x v="11"/>
  </r>
  <r>
    <x v="750"/>
    <x v="1"/>
    <n v="6416"/>
    <n v="2824"/>
    <n v="8974"/>
    <n v="3100"/>
    <n v="492"/>
    <n v="52"/>
    <x v="0"/>
    <n v="10"/>
    <x v="5"/>
  </r>
  <r>
    <x v="880"/>
    <x v="3"/>
    <n v="4559"/>
    <n v="-368"/>
    <n v="4262"/>
    <n v="4341"/>
    <n v="586"/>
    <n v="100"/>
    <x v="3"/>
    <n v="1"/>
    <x v="1"/>
  </r>
  <r>
    <x v="766"/>
    <x v="2"/>
    <n v="10218"/>
    <n v="6389"/>
    <n v="6038"/>
    <n v="2203"/>
    <n v="1626"/>
    <n v="43"/>
    <x v="2"/>
    <n v="6"/>
    <x v="0"/>
  </r>
  <r>
    <x v="881"/>
    <x v="0"/>
    <n v="11946"/>
    <n v="9842"/>
    <n v="9125"/>
    <n v="1777"/>
    <n v="327"/>
    <n v="106"/>
    <x v="2"/>
    <n v="9"/>
    <x v="7"/>
  </r>
  <r>
    <x v="882"/>
    <x v="0"/>
    <n v="3436"/>
    <n v="197"/>
    <n v="7399"/>
    <n v="1387"/>
    <n v="1852"/>
    <n v="23"/>
    <x v="4"/>
    <n v="3"/>
    <x v="7"/>
  </r>
  <r>
    <x v="665"/>
    <x v="3"/>
    <n v="11291"/>
    <n v="10125"/>
    <n v="6171"/>
    <n v="960"/>
    <n v="206"/>
    <n v="82"/>
    <x v="0"/>
    <n v="7"/>
    <x v="2"/>
  </r>
  <r>
    <x v="634"/>
    <x v="1"/>
    <n v="10086"/>
    <n v="4094"/>
    <n v="9009"/>
    <n v="4573"/>
    <n v="1419"/>
    <n v="83"/>
    <x v="0"/>
    <n v="8"/>
    <x v="10"/>
  </r>
  <r>
    <x v="883"/>
    <x v="3"/>
    <n v="10593"/>
    <n v="5697"/>
    <n v="6274"/>
    <n v="3671"/>
    <n v="1225"/>
    <n v="116"/>
    <x v="4"/>
    <n v="2"/>
    <x v="1"/>
  </r>
  <r>
    <x v="884"/>
    <x v="2"/>
    <n v="6078"/>
    <n v="-163"/>
    <n v="4245"/>
    <n v="4301"/>
    <n v="1940"/>
    <n v="50"/>
    <x v="4"/>
    <n v="6"/>
    <x v="4"/>
  </r>
  <r>
    <x v="868"/>
    <x v="2"/>
    <n v="8084"/>
    <n v="4448"/>
    <n v="5474"/>
    <n v="3085"/>
    <n v="551"/>
    <n v="92"/>
    <x v="4"/>
    <n v="7"/>
    <x v="0"/>
  </r>
  <r>
    <x v="468"/>
    <x v="2"/>
    <n v="8492"/>
    <n v="4391"/>
    <n v="7247"/>
    <n v="3467"/>
    <n v="634"/>
    <n v="12"/>
    <x v="0"/>
    <n v="5"/>
    <x v="5"/>
  </r>
  <r>
    <x v="742"/>
    <x v="3"/>
    <n v="2426"/>
    <n v="-119"/>
    <n v="8045"/>
    <n v="950"/>
    <n v="1595"/>
    <n v="24"/>
    <x v="3"/>
    <n v="6"/>
    <x v="0"/>
  </r>
  <r>
    <x v="111"/>
    <x v="1"/>
    <n v="7006"/>
    <n v="1920"/>
    <n v="6189"/>
    <n v="3473"/>
    <n v="1613"/>
    <n v="92"/>
    <x v="0"/>
    <n v="10"/>
    <x v="11"/>
  </r>
  <r>
    <x v="885"/>
    <x v="0"/>
    <n v="10055"/>
    <n v="7376"/>
    <n v="4930"/>
    <n v="933"/>
    <n v="1746"/>
    <n v="81"/>
    <x v="1"/>
    <n v="1"/>
    <x v="10"/>
  </r>
  <r>
    <x v="877"/>
    <x v="3"/>
    <n v="7361"/>
    <n v="4460"/>
    <n v="6939"/>
    <n v="1169"/>
    <n v="1732"/>
    <n v="83"/>
    <x v="4"/>
    <n v="2"/>
    <x v="1"/>
  </r>
  <r>
    <x v="349"/>
    <x v="1"/>
    <n v="9932"/>
    <n v="5262"/>
    <n v="9322"/>
    <n v="3401"/>
    <n v="1269"/>
    <n v="100"/>
    <x v="0"/>
    <n v="10"/>
    <x v="6"/>
  </r>
  <r>
    <x v="886"/>
    <x v="2"/>
    <n v="5773"/>
    <n v="2120"/>
    <n v="4812"/>
    <n v="3213"/>
    <n v="440"/>
    <n v="63"/>
    <x v="2"/>
    <n v="1"/>
    <x v="0"/>
  </r>
  <r>
    <x v="614"/>
    <x v="2"/>
    <n v="3576"/>
    <n v="944"/>
    <n v="7535"/>
    <n v="1552"/>
    <n v="1080"/>
    <n v="105"/>
    <x v="3"/>
    <n v="6"/>
    <x v="0"/>
  </r>
  <r>
    <x v="887"/>
    <x v="2"/>
    <n v="11732"/>
    <n v="8706"/>
    <n v="7296"/>
    <n v="2315"/>
    <n v="711"/>
    <n v="69"/>
    <x v="0"/>
    <n v="10"/>
    <x v="1"/>
  </r>
  <r>
    <x v="60"/>
    <x v="0"/>
    <n v="10501"/>
    <n v="6392"/>
    <n v="8795"/>
    <n v="2283"/>
    <n v="1826"/>
    <n v="78"/>
    <x v="3"/>
    <n v="1"/>
    <x v="1"/>
  </r>
  <r>
    <x v="713"/>
    <x v="1"/>
    <n v="10446"/>
    <n v="6848"/>
    <n v="7274"/>
    <n v="1706"/>
    <n v="1892"/>
    <n v="51"/>
    <x v="4"/>
    <n v="8"/>
    <x v="7"/>
  </r>
  <r>
    <x v="493"/>
    <x v="0"/>
    <n v="9090"/>
    <n v="3023"/>
    <n v="9079"/>
    <n v="4406"/>
    <n v="1661"/>
    <n v="43"/>
    <x v="4"/>
    <n v="7"/>
    <x v="9"/>
  </r>
  <r>
    <x v="45"/>
    <x v="1"/>
    <n v="8338"/>
    <n v="3752"/>
    <n v="8729"/>
    <n v="3773"/>
    <n v="813"/>
    <n v="51"/>
    <x v="4"/>
    <n v="1"/>
    <x v="7"/>
  </r>
  <r>
    <x v="126"/>
    <x v="1"/>
    <n v="6261"/>
    <n v="3103"/>
    <n v="8242"/>
    <n v="2808"/>
    <n v="350"/>
    <n v="53"/>
    <x v="1"/>
    <n v="5"/>
    <x v="6"/>
  </r>
  <r>
    <x v="879"/>
    <x v="3"/>
    <n v="4566"/>
    <n v="978"/>
    <n v="4673"/>
    <n v="1661"/>
    <n v="1927"/>
    <n v="86"/>
    <x v="4"/>
    <n v="5"/>
    <x v="10"/>
  </r>
  <r>
    <x v="218"/>
    <x v="0"/>
    <n v="10780"/>
    <n v="5749"/>
    <n v="8667"/>
    <n v="4330"/>
    <n v="701"/>
    <n v="81"/>
    <x v="4"/>
    <n v="1"/>
    <x v="2"/>
  </r>
  <r>
    <x v="888"/>
    <x v="1"/>
    <n v="6785"/>
    <n v="3637"/>
    <n v="7424"/>
    <n v="1211"/>
    <n v="1937"/>
    <n v="32"/>
    <x v="0"/>
    <n v="9"/>
    <x v="6"/>
  </r>
  <r>
    <x v="711"/>
    <x v="2"/>
    <n v="9832"/>
    <n v="7113"/>
    <n v="9088"/>
    <n v="1977"/>
    <n v="742"/>
    <n v="91"/>
    <x v="0"/>
    <n v="10"/>
    <x v="4"/>
  </r>
  <r>
    <x v="613"/>
    <x v="2"/>
    <n v="3509"/>
    <n v="1459"/>
    <n v="5285"/>
    <n v="1284"/>
    <n v="766"/>
    <n v="57"/>
    <x v="1"/>
    <n v="5"/>
    <x v="11"/>
  </r>
  <r>
    <x v="427"/>
    <x v="1"/>
    <n v="8023"/>
    <n v="5284"/>
    <n v="4783"/>
    <n v="2165"/>
    <n v="574"/>
    <n v="93"/>
    <x v="0"/>
    <n v="6"/>
    <x v="9"/>
  </r>
  <r>
    <x v="889"/>
    <x v="1"/>
    <n v="2104"/>
    <n v="-485"/>
    <n v="6709"/>
    <n v="1734"/>
    <n v="855"/>
    <n v="93"/>
    <x v="1"/>
    <n v="3"/>
    <x v="2"/>
  </r>
  <r>
    <x v="890"/>
    <x v="2"/>
    <n v="2597"/>
    <n v="-3070"/>
    <n v="6405"/>
    <n v="3678"/>
    <n v="1989"/>
    <n v="63"/>
    <x v="0"/>
    <n v="7"/>
    <x v="4"/>
  </r>
  <r>
    <x v="751"/>
    <x v="3"/>
    <n v="4234"/>
    <n v="1587"/>
    <n v="7964"/>
    <n v="1277"/>
    <n v="1370"/>
    <n v="63"/>
    <x v="2"/>
    <n v="1"/>
    <x v="4"/>
  </r>
  <r>
    <x v="435"/>
    <x v="2"/>
    <n v="2507"/>
    <n v="262"/>
    <n v="6343"/>
    <n v="1036"/>
    <n v="1209"/>
    <n v="74"/>
    <x v="1"/>
    <n v="6"/>
    <x v="0"/>
  </r>
  <r>
    <x v="845"/>
    <x v="2"/>
    <n v="11255"/>
    <n v="6394"/>
    <n v="6465"/>
    <n v="4370"/>
    <n v="491"/>
    <n v="20"/>
    <x v="4"/>
    <n v="4"/>
    <x v="11"/>
  </r>
  <r>
    <x v="301"/>
    <x v="2"/>
    <n v="5720"/>
    <n v="1788"/>
    <n v="4642"/>
    <n v="3297"/>
    <n v="635"/>
    <n v="92"/>
    <x v="0"/>
    <n v="8"/>
    <x v="7"/>
  </r>
  <r>
    <x v="891"/>
    <x v="3"/>
    <n v="8955"/>
    <n v="6138"/>
    <n v="8904"/>
    <n v="1594"/>
    <n v="1223"/>
    <n v="114"/>
    <x v="3"/>
    <n v="3"/>
    <x v="3"/>
  </r>
  <r>
    <x v="261"/>
    <x v="1"/>
    <n v="7632"/>
    <n v="3707"/>
    <n v="6719"/>
    <n v="2303"/>
    <n v="1622"/>
    <n v="44"/>
    <x v="1"/>
    <n v="4"/>
    <x v="4"/>
  </r>
  <r>
    <x v="604"/>
    <x v="0"/>
    <n v="2592"/>
    <n v="-1416"/>
    <n v="5955"/>
    <n v="2996"/>
    <n v="1012"/>
    <n v="98"/>
    <x v="4"/>
    <n v="3"/>
    <x v="2"/>
  </r>
  <r>
    <x v="892"/>
    <x v="2"/>
    <n v="5707"/>
    <n v="-911"/>
    <n v="8876"/>
    <n v="4973"/>
    <n v="1645"/>
    <n v="51"/>
    <x v="4"/>
    <n v="5"/>
    <x v="11"/>
  </r>
  <r>
    <x v="124"/>
    <x v="0"/>
    <n v="7065"/>
    <n v="4407"/>
    <n v="9271"/>
    <n v="803"/>
    <n v="1855"/>
    <n v="55"/>
    <x v="0"/>
    <n v="8"/>
    <x v="10"/>
  </r>
  <r>
    <x v="893"/>
    <x v="1"/>
    <n v="7032"/>
    <n v="880"/>
    <n v="5189"/>
    <n v="4324"/>
    <n v="1828"/>
    <n v="102"/>
    <x v="1"/>
    <n v="10"/>
    <x v="7"/>
  </r>
  <r>
    <x v="448"/>
    <x v="2"/>
    <n v="2245"/>
    <n v="-2779"/>
    <n v="4397"/>
    <n v="3465"/>
    <n v="1559"/>
    <n v="21"/>
    <x v="0"/>
    <n v="2"/>
    <x v="4"/>
  </r>
  <r>
    <x v="894"/>
    <x v="1"/>
    <n v="2245"/>
    <n v="292"/>
    <n v="6129"/>
    <n v="993"/>
    <n v="960"/>
    <n v="65"/>
    <x v="2"/>
    <n v="2"/>
    <x v="4"/>
  </r>
  <r>
    <x v="895"/>
    <x v="2"/>
    <n v="5287"/>
    <n v="3076"/>
    <n v="7176"/>
    <n v="1979"/>
    <n v="232"/>
    <n v="119"/>
    <x v="1"/>
    <n v="10"/>
    <x v="5"/>
  </r>
  <r>
    <x v="666"/>
    <x v="0"/>
    <n v="3173"/>
    <n v="-1406"/>
    <n v="5299"/>
    <n v="3580"/>
    <n v="999"/>
    <n v="32"/>
    <x v="3"/>
    <n v="1"/>
    <x v="4"/>
  </r>
  <r>
    <x v="695"/>
    <x v="3"/>
    <n v="3167"/>
    <n v="-1703"/>
    <n v="8854"/>
    <n v="2915"/>
    <n v="1955"/>
    <n v="13"/>
    <x v="2"/>
    <n v="2"/>
    <x v="2"/>
  </r>
  <r>
    <x v="896"/>
    <x v="0"/>
    <n v="4927"/>
    <n v="2261"/>
    <n v="7092"/>
    <n v="1710"/>
    <n v="956"/>
    <n v="40"/>
    <x v="0"/>
    <n v="9"/>
    <x v="8"/>
  </r>
  <r>
    <x v="897"/>
    <x v="2"/>
    <n v="3880"/>
    <n v="2415"/>
    <n v="9505"/>
    <n v="1095"/>
    <n v="370"/>
    <n v="24"/>
    <x v="2"/>
    <n v="8"/>
    <x v="4"/>
  </r>
  <r>
    <x v="898"/>
    <x v="3"/>
    <n v="8480"/>
    <n v="5939"/>
    <n v="4208"/>
    <n v="1055"/>
    <n v="1486"/>
    <n v="60"/>
    <x v="0"/>
    <n v="8"/>
    <x v="4"/>
  </r>
  <r>
    <x v="703"/>
    <x v="0"/>
    <n v="6457"/>
    <n v="1170"/>
    <n v="9814"/>
    <n v="4932"/>
    <n v="355"/>
    <n v="120"/>
    <x v="2"/>
    <n v="5"/>
    <x v="2"/>
  </r>
  <r>
    <x v="608"/>
    <x v="0"/>
    <n v="5508"/>
    <n v="2732"/>
    <n v="6389"/>
    <n v="968"/>
    <n v="1808"/>
    <n v="98"/>
    <x v="2"/>
    <n v="5"/>
    <x v="4"/>
  </r>
  <r>
    <x v="205"/>
    <x v="2"/>
    <n v="4586"/>
    <n v="1173"/>
    <n v="4671"/>
    <n v="2238"/>
    <n v="1175"/>
    <n v="109"/>
    <x v="0"/>
    <n v="2"/>
    <x v="2"/>
  </r>
  <r>
    <x v="899"/>
    <x v="3"/>
    <n v="5650"/>
    <n v="3115"/>
    <n v="4246"/>
    <n v="2313"/>
    <n v="222"/>
    <n v="101"/>
    <x v="2"/>
    <n v="10"/>
    <x v="10"/>
  </r>
  <r>
    <x v="361"/>
    <x v="3"/>
    <n v="10235"/>
    <n v="6868"/>
    <n v="8168"/>
    <n v="2314"/>
    <n v="1053"/>
    <n v="92"/>
    <x v="1"/>
    <n v="7"/>
    <x v="0"/>
  </r>
  <r>
    <x v="583"/>
    <x v="1"/>
    <n v="6749"/>
    <n v="2448"/>
    <n v="7818"/>
    <n v="2413"/>
    <n v="1888"/>
    <n v="111"/>
    <x v="2"/>
    <n v="3"/>
    <x v="1"/>
  </r>
  <r>
    <x v="900"/>
    <x v="0"/>
    <n v="8460"/>
    <n v="1780"/>
    <n v="5898"/>
    <n v="4690"/>
    <n v="1990"/>
    <n v="81"/>
    <x v="3"/>
    <n v="5"/>
    <x v="7"/>
  </r>
  <r>
    <x v="353"/>
    <x v="2"/>
    <n v="2620"/>
    <n v="-1062"/>
    <n v="9792"/>
    <n v="2310"/>
    <n v="1372"/>
    <n v="78"/>
    <x v="4"/>
    <n v="1"/>
    <x v="7"/>
  </r>
  <r>
    <x v="901"/>
    <x v="2"/>
    <n v="4059"/>
    <n v="1480"/>
    <n v="8936"/>
    <n v="1500"/>
    <n v="1079"/>
    <n v="104"/>
    <x v="2"/>
    <n v="10"/>
    <x v="8"/>
  </r>
  <r>
    <x v="902"/>
    <x v="2"/>
    <n v="9243"/>
    <n v="5725"/>
    <n v="9237"/>
    <n v="1972"/>
    <n v="1546"/>
    <n v="87"/>
    <x v="4"/>
    <n v="7"/>
    <x v="6"/>
  </r>
  <r>
    <x v="697"/>
    <x v="2"/>
    <n v="7023"/>
    <n v="3353"/>
    <n v="5258"/>
    <n v="2897"/>
    <n v="773"/>
    <n v="78"/>
    <x v="1"/>
    <n v="6"/>
    <x v="0"/>
  </r>
  <r>
    <x v="903"/>
    <x v="3"/>
    <n v="8487"/>
    <n v="3602"/>
    <n v="5629"/>
    <n v="3032"/>
    <n v="1853"/>
    <n v="105"/>
    <x v="1"/>
    <n v="1"/>
    <x v="2"/>
  </r>
  <r>
    <x v="546"/>
    <x v="3"/>
    <n v="6420"/>
    <n v="2769"/>
    <n v="7514"/>
    <n v="3272"/>
    <n v="379"/>
    <n v="13"/>
    <x v="0"/>
    <n v="9"/>
    <x v="6"/>
  </r>
  <r>
    <x v="861"/>
    <x v="1"/>
    <n v="10799"/>
    <n v="7354"/>
    <n v="7690"/>
    <n v="1968"/>
    <n v="1477"/>
    <n v="59"/>
    <x v="0"/>
    <n v="2"/>
    <x v="3"/>
  </r>
  <r>
    <x v="357"/>
    <x v="3"/>
    <n v="5336"/>
    <n v="1011"/>
    <n v="7062"/>
    <n v="2850"/>
    <n v="1475"/>
    <n v="68"/>
    <x v="2"/>
    <n v="9"/>
    <x v="5"/>
  </r>
  <r>
    <x v="693"/>
    <x v="1"/>
    <n v="4089"/>
    <n v="-1470"/>
    <n v="9566"/>
    <n v="4679"/>
    <n v="880"/>
    <n v="78"/>
    <x v="4"/>
    <n v="9"/>
    <x v="1"/>
  </r>
  <r>
    <x v="398"/>
    <x v="0"/>
    <n v="5288"/>
    <n v="3037"/>
    <n v="4251"/>
    <n v="1109"/>
    <n v="1142"/>
    <n v="94"/>
    <x v="4"/>
    <n v="3"/>
    <x v="6"/>
  </r>
  <r>
    <x v="99"/>
    <x v="0"/>
    <n v="3222"/>
    <n v="885"/>
    <n v="8319"/>
    <n v="2063"/>
    <n v="274"/>
    <n v="15"/>
    <x v="2"/>
    <n v="5"/>
    <x v="9"/>
  </r>
  <r>
    <x v="301"/>
    <x v="2"/>
    <n v="11595"/>
    <n v="6795"/>
    <n v="9142"/>
    <n v="3398"/>
    <n v="1402"/>
    <n v="79"/>
    <x v="4"/>
    <n v="1"/>
    <x v="7"/>
  </r>
  <r>
    <x v="904"/>
    <x v="0"/>
    <n v="9797"/>
    <n v="8144"/>
    <n v="9115"/>
    <n v="1396"/>
    <n v="257"/>
    <n v="85"/>
    <x v="0"/>
    <n v="1"/>
    <x v="10"/>
  </r>
  <r>
    <x v="683"/>
    <x v="0"/>
    <n v="11136"/>
    <n v="8819"/>
    <n v="5475"/>
    <n v="1424"/>
    <n v="893"/>
    <n v="48"/>
    <x v="4"/>
    <n v="2"/>
    <x v="7"/>
  </r>
  <r>
    <x v="385"/>
    <x v="1"/>
    <n v="4840"/>
    <n v="-2084"/>
    <n v="6221"/>
    <n v="4945"/>
    <n v="1979"/>
    <n v="107"/>
    <x v="1"/>
    <n v="5"/>
    <x v="6"/>
  </r>
  <r>
    <x v="558"/>
    <x v="1"/>
    <n v="3830"/>
    <n v="1128"/>
    <n v="5131"/>
    <n v="1515"/>
    <n v="1187"/>
    <n v="101"/>
    <x v="4"/>
    <n v="1"/>
    <x v="3"/>
  </r>
  <r>
    <x v="905"/>
    <x v="3"/>
    <n v="8101"/>
    <n v="5750"/>
    <n v="9231"/>
    <n v="1256"/>
    <n v="1095"/>
    <n v="119"/>
    <x v="1"/>
    <n v="4"/>
    <x v="5"/>
  </r>
  <r>
    <x v="906"/>
    <x v="3"/>
    <n v="9498"/>
    <n v="7305"/>
    <n v="4715"/>
    <n v="1072"/>
    <n v="1121"/>
    <n v="57"/>
    <x v="0"/>
    <n v="2"/>
    <x v="11"/>
  </r>
  <r>
    <x v="907"/>
    <x v="0"/>
    <n v="8385"/>
    <n v="5339"/>
    <n v="6730"/>
    <n v="1854"/>
    <n v="1192"/>
    <n v="82"/>
    <x v="1"/>
    <n v="5"/>
    <x v="2"/>
  </r>
  <r>
    <x v="908"/>
    <x v="2"/>
    <n v="5135"/>
    <n v="-545"/>
    <n v="9376"/>
    <n v="4399"/>
    <n v="1281"/>
    <n v="59"/>
    <x v="4"/>
    <n v="9"/>
    <x v="2"/>
  </r>
  <r>
    <x v="909"/>
    <x v="3"/>
    <n v="6836"/>
    <n v="2685"/>
    <n v="7216"/>
    <n v="2195"/>
    <n v="1956"/>
    <n v="32"/>
    <x v="3"/>
    <n v="6"/>
    <x v="11"/>
  </r>
  <r>
    <x v="194"/>
    <x v="0"/>
    <n v="9029"/>
    <n v="6025"/>
    <n v="9349"/>
    <n v="2500"/>
    <n v="504"/>
    <n v="79"/>
    <x v="4"/>
    <n v="9"/>
    <x v="8"/>
  </r>
  <r>
    <x v="465"/>
    <x v="3"/>
    <n v="11307"/>
    <n v="8617"/>
    <n v="5124"/>
    <n v="2363"/>
    <n v="327"/>
    <n v="67"/>
    <x v="3"/>
    <n v="9"/>
    <x v="8"/>
  </r>
  <r>
    <x v="677"/>
    <x v="0"/>
    <n v="11425"/>
    <n v="5380"/>
    <n v="9047"/>
    <n v="4211"/>
    <n v="1834"/>
    <n v="25"/>
    <x v="4"/>
    <n v="4"/>
    <x v="3"/>
  </r>
  <r>
    <x v="501"/>
    <x v="0"/>
    <n v="10003"/>
    <n v="4346"/>
    <n v="8959"/>
    <n v="3707"/>
    <n v="1950"/>
    <n v="15"/>
    <x v="3"/>
    <n v="10"/>
    <x v="7"/>
  </r>
  <r>
    <x v="35"/>
    <x v="0"/>
    <n v="10459"/>
    <n v="5482"/>
    <n v="4196"/>
    <n v="3120"/>
    <n v="1857"/>
    <n v="32"/>
    <x v="1"/>
    <n v="9"/>
    <x v="4"/>
  </r>
  <r>
    <x v="910"/>
    <x v="1"/>
    <n v="2805"/>
    <n v="-2641"/>
    <n v="9058"/>
    <n v="4223"/>
    <n v="1223"/>
    <n v="43"/>
    <x v="3"/>
    <n v="5"/>
    <x v="10"/>
  </r>
  <r>
    <x v="465"/>
    <x v="3"/>
    <n v="2566"/>
    <n v="-722"/>
    <n v="4571"/>
    <n v="1771"/>
    <n v="1517"/>
    <n v="80"/>
    <x v="3"/>
    <n v="2"/>
    <x v="8"/>
  </r>
  <r>
    <x v="517"/>
    <x v="1"/>
    <n v="3587"/>
    <n v="-1610"/>
    <n v="6644"/>
    <n v="4970"/>
    <n v="227"/>
    <n v="40"/>
    <x v="2"/>
    <n v="5"/>
    <x v="1"/>
  </r>
  <r>
    <x v="911"/>
    <x v="2"/>
    <n v="9997"/>
    <n v="7875"/>
    <n v="5484"/>
    <n v="881"/>
    <n v="1241"/>
    <n v="27"/>
    <x v="3"/>
    <n v="7"/>
    <x v="3"/>
  </r>
  <r>
    <x v="490"/>
    <x v="0"/>
    <n v="11007"/>
    <n v="8321"/>
    <n v="7515"/>
    <n v="949"/>
    <n v="1737"/>
    <n v="120"/>
    <x v="4"/>
    <n v="9"/>
    <x v="5"/>
  </r>
  <r>
    <x v="9"/>
    <x v="0"/>
    <n v="2520"/>
    <n v="-782"/>
    <n v="6919"/>
    <n v="2632"/>
    <n v="670"/>
    <n v="73"/>
    <x v="2"/>
    <n v="6"/>
    <x v="1"/>
  </r>
  <r>
    <x v="15"/>
    <x v="1"/>
    <n v="7522"/>
    <n v="1786"/>
    <n v="6792"/>
    <n v="4645"/>
    <n v="1091"/>
    <n v="68"/>
    <x v="2"/>
    <n v="1"/>
    <x v="7"/>
  </r>
  <r>
    <x v="85"/>
    <x v="0"/>
    <n v="11945"/>
    <n v="8312"/>
    <n v="8020"/>
    <n v="1730"/>
    <n v="1903"/>
    <n v="108"/>
    <x v="4"/>
    <n v="3"/>
    <x v="11"/>
  </r>
  <r>
    <x v="8"/>
    <x v="2"/>
    <n v="2446"/>
    <n v="-2"/>
    <n v="4033"/>
    <n v="1840"/>
    <n v="608"/>
    <n v="73"/>
    <x v="2"/>
    <n v="3"/>
    <x v="7"/>
  </r>
  <r>
    <x v="169"/>
    <x v="1"/>
    <n v="10381"/>
    <n v="4282"/>
    <n v="9522"/>
    <n v="4217"/>
    <n v="1882"/>
    <n v="31"/>
    <x v="4"/>
    <n v="10"/>
    <x v="1"/>
  </r>
  <r>
    <x v="912"/>
    <x v="3"/>
    <n v="10494"/>
    <n v="6150"/>
    <n v="4019"/>
    <n v="3312"/>
    <n v="1032"/>
    <n v="13"/>
    <x v="1"/>
    <n v="10"/>
    <x v="3"/>
  </r>
  <r>
    <x v="772"/>
    <x v="3"/>
    <n v="4410"/>
    <n v="230"/>
    <n v="5681"/>
    <n v="3228"/>
    <n v="952"/>
    <n v="22"/>
    <x v="2"/>
    <n v="6"/>
    <x v="1"/>
  </r>
  <r>
    <x v="353"/>
    <x v="1"/>
    <n v="11835"/>
    <n v="7162"/>
    <n v="8446"/>
    <n v="3211"/>
    <n v="1462"/>
    <n v="119"/>
    <x v="2"/>
    <n v="3"/>
    <x v="7"/>
  </r>
  <r>
    <x v="377"/>
    <x v="3"/>
    <n v="11165"/>
    <n v="8166"/>
    <n v="4721"/>
    <n v="1662"/>
    <n v="1337"/>
    <n v="110"/>
    <x v="0"/>
    <n v="4"/>
    <x v="9"/>
  </r>
  <r>
    <x v="913"/>
    <x v="0"/>
    <n v="3560"/>
    <n v="-722"/>
    <n v="9579"/>
    <n v="3041"/>
    <n v="1241"/>
    <n v="67"/>
    <x v="2"/>
    <n v="4"/>
    <x v="7"/>
  </r>
  <r>
    <x v="244"/>
    <x v="0"/>
    <n v="7122"/>
    <n v="4327"/>
    <n v="5499"/>
    <n v="1199"/>
    <n v="1596"/>
    <n v="94"/>
    <x v="0"/>
    <n v="3"/>
    <x v="8"/>
  </r>
  <r>
    <x v="154"/>
    <x v="3"/>
    <n v="6968"/>
    <n v="2071"/>
    <n v="7405"/>
    <n v="3655"/>
    <n v="1242"/>
    <n v="51"/>
    <x v="1"/>
    <n v="10"/>
    <x v="3"/>
  </r>
  <r>
    <x v="365"/>
    <x v="0"/>
    <n v="2327"/>
    <n v="-704"/>
    <n v="5767"/>
    <n v="1307"/>
    <n v="1724"/>
    <n v="116"/>
    <x v="0"/>
    <n v="8"/>
    <x v="6"/>
  </r>
  <r>
    <x v="914"/>
    <x v="1"/>
    <n v="8244"/>
    <n v="5806"/>
    <n v="9257"/>
    <n v="2224"/>
    <n v="214"/>
    <n v="24"/>
    <x v="0"/>
    <n v="8"/>
    <x v="5"/>
  </r>
  <r>
    <x v="400"/>
    <x v="1"/>
    <n v="11482"/>
    <n v="6207"/>
    <n v="8718"/>
    <n v="3788"/>
    <n v="1487"/>
    <n v="86"/>
    <x v="4"/>
    <n v="4"/>
    <x v="11"/>
  </r>
  <r>
    <x v="915"/>
    <x v="2"/>
    <n v="11117"/>
    <n v="6178"/>
    <n v="6310"/>
    <n v="4632"/>
    <n v="307"/>
    <n v="45"/>
    <x v="2"/>
    <n v="7"/>
    <x v="11"/>
  </r>
  <r>
    <x v="742"/>
    <x v="3"/>
    <n v="2755"/>
    <n v="-2214"/>
    <n v="8465"/>
    <n v="3351"/>
    <n v="1618"/>
    <n v="116"/>
    <x v="1"/>
    <n v="7"/>
    <x v="0"/>
  </r>
  <r>
    <x v="847"/>
    <x v="2"/>
    <n v="7450"/>
    <n v="3075"/>
    <n v="4571"/>
    <n v="2473"/>
    <n v="1902"/>
    <n v="10"/>
    <x v="1"/>
    <n v="10"/>
    <x v="1"/>
  </r>
  <r>
    <x v="916"/>
    <x v="0"/>
    <n v="3250"/>
    <n v="-2446"/>
    <n v="4422"/>
    <n v="3742"/>
    <n v="1954"/>
    <n v="38"/>
    <x v="1"/>
    <n v="1"/>
    <x v="0"/>
  </r>
  <r>
    <x v="917"/>
    <x v="3"/>
    <n v="2553"/>
    <n v="-2277"/>
    <n v="5262"/>
    <n v="4192"/>
    <n v="638"/>
    <n v="20"/>
    <x v="2"/>
    <n v="10"/>
    <x v="0"/>
  </r>
  <r>
    <x v="705"/>
    <x v="2"/>
    <n v="4504"/>
    <n v="-622"/>
    <n v="4289"/>
    <n v="3258"/>
    <n v="1868"/>
    <n v="71"/>
    <x v="0"/>
    <n v="6"/>
    <x v="10"/>
  </r>
  <r>
    <x v="572"/>
    <x v="0"/>
    <n v="8747"/>
    <n v="5803"/>
    <n v="9544"/>
    <n v="2043"/>
    <n v="901"/>
    <n v="100"/>
    <x v="1"/>
    <n v="10"/>
    <x v="3"/>
  </r>
  <r>
    <x v="918"/>
    <x v="2"/>
    <n v="11276"/>
    <n v="8120"/>
    <n v="8729"/>
    <n v="1479"/>
    <n v="1677"/>
    <n v="68"/>
    <x v="4"/>
    <n v="9"/>
    <x v="11"/>
  </r>
  <r>
    <x v="505"/>
    <x v="3"/>
    <n v="8503"/>
    <n v="3960"/>
    <n v="6746"/>
    <n v="2836"/>
    <n v="1707"/>
    <n v="98"/>
    <x v="0"/>
    <n v="10"/>
    <x v="8"/>
  </r>
  <r>
    <x v="548"/>
    <x v="1"/>
    <n v="4127"/>
    <n v="1437"/>
    <n v="7593"/>
    <n v="1037"/>
    <n v="1653"/>
    <n v="28"/>
    <x v="2"/>
    <n v="3"/>
    <x v="9"/>
  </r>
  <r>
    <x v="824"/>
    <x v="0"/>
    <n v="6270"/>
    <n v="2837"/>
    <n v="6760"/>
    <n v="2832"/>
    <n v="601"/>
    <n v="17"/>
    <x v="3"/>
    <n v="9"/>
    <x v="7"/>
  </r>
  <r>
    <x v="308"/>
    <x v="2"/>
    <n v="8969"/>
    <n v="7422"/>
    <n v="7759"/>
    <n v="903"/>
    <n v="644"/>
    <n v="117"/>
    <x v="0"/>
    <n v="9"/>
    <x v="6"/>
  </r>
  <r>
    <x v="298"/>
    <x v="3"/>
    <n v="2962"/>
    <n v="-1200"/>
    <n v="4751"/>
    <n v="3284"/>
    <n v="878"/>
    <n v="65"/>
    <x v="0"/>
    <n v="4"/>
    <x v="9"/>
  </r>
  <r>
    <x v="688"/>
    <x v="2"/>
    <n v="4057"/>
    <n v="-1813"/>
    <n v="6459"/>
    <n v="4614"/>
    <n v="1256"/>
    <n v="21"/>
    <x v="2"/>
    <n v="8"/>
    <x v="9"/>
  </r>
  <r>
    <x v="172"/>
    <x v="1"/>
    <n v="4590"/>
    <n v="-722"/>
    <n v="6150"/>
    <n v="4463"/>
    <n v="849"/>
    <n v="30"/>
    <x v="4"/>
    <n v="8"/>
    <x v="10"/>
  </r>
  <r>
    <x v="919"/>
    <x v="1"/>
    <n v="3869"/>
    <n v="-1239"/>
    <n v="5105"/>
    <n v="4893"/>
    <n v="215"/>
    <n v="82"/>
    <x v="4"/>
    <n v="10"/>
    <x v="1"/>
  </r>
  <r>
    <x v="228"/>
    <x v="1"/>
    <n v="5475"/>
    <n v="423"/>
    <n v="8261"/>
    <n v="3364"/>
    <n v="1688"/>
    <n v="60"/>
    <x v="1"/>
    <n v="2"/>
    <x v="9"/>
  </r>
  <r>
    <x v="418"/>
    <x v="1"/>
    <n v="3894"/>
    <n v="-348"/>
    <n v="7337"/>
    <n v="3381"/>
    <n v="861"/>
    <n v="90"/>
    <x v="1"/>
    <n v="5"/>
    <x v="9"/>
  </r>
  <r>
    <x v="920"/>
    <x v="3"/>
    <n v="3297"/>
    <n v="-954"/>
    <n v="5515"/>
    <n v="3447"/>
    <n v="804"/>
    <n v="103"/>
    <x v="0"/>
    <n v="8"/>
    <x v="6"/>
  </r>
  <r>
    <x v="712"/>
    <x v="0"/>
    <n v="3906"/>
    <n v="-1607"/>
    <n v="5990"/>
    <n v="4841"/>
    <n v="672"/>
    <n v="24"/>
    <x v="0"/>
    <n v="10"/>
    <x v="6"/>
  </r>
  <r>
    <x v="71"/>
    <x v="2"/>
    <n v="5814"/>
    <n v="612"/>
    <n v="7447"/>
    <n v="4921"/>
    <n v="281"/>
    <n v="108"/>
    <x v="3"/>
    <n v="7"/>
    <x v="2"/>
  </r>
  <r>
    <x v="806"/>
    <x v="1"/>
    <n v="11843"/>
    <n v="6635"/>
    <n v="6223"/>
    <n v="4380"/>
    <n v="828"/>
    <n v="81"/>
    <x v="2"/>
    <n v="4"/>
    <x v="2"/>
  </r>
  <r>
    <x v="921"/>
    <x v="2"/>
    <n v="3065"/>
    <n v="-2007"/>
    <n v="4974"/>
    <n v="4182"/>
    <n v="890"/>
    <n v="75"/>
    <x v="1"/>
    <n v="9"/>
    <x v="9"/>
  </r>
  <r>
    <x v="133"/>
    <x v="2"/>
    <n v="2260"/>
    <n v="-2349"/>
    <n v="5598"/>
    <n v="3514"/>
    <n v="1095"/>
    <n v="101"/>
    <x v="3"/>
    <n v="3"/>
    <x v="3"/>
  </r>
  <r>
    <x v="833"/>
    <x v="0"/>
    <n v="11458"/>
    <n v="7463"/>
    <n v="5578"/>
    <n v="2904"/>
    <n v="1091"/>
    <n v="111"/>
    <x v="1"/>
    <n v="2"/>
    <x v="3"/>
  </r>
  <r>
    <x v="275"/>
    <x v="3"/>
    <n v="10989"/>
    <n v="9276"/>
    <n v="9365"/>
    <n v="1392"/>
    <n v="321"/>
    <n v="112"/>
    <x v="3"/>
    <n v="8"/>
    <x v="0"/>
  </r>
  <r>
    <x v="922"/>
    <x v="3"/>
    <n v="6530"/>
    <n v="2678"/>
    <n v="6401"/>
    <n v="3643"/>
    <n v="209"/>
    <n v="61"/>
    <x v="2"/>
    <n v="8"/>
    <x v="7"/>
  </r>
  <r>
    <x v="923"/>
    <x v="2"/>
    <n v="10144"/>
    <n v="5514"/>
    <n v="7790"/>
    <n v="2806"/>
    <n v="1824"/>
    <n v="68"/>
    <x v="2"/>
    <n v="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562DD2-A8D8-4611-8F64-A77F5A5AEBB7}" name="PivotTable16"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2:V3" firstHeaderRow="1" firstDataRow="1" firstDataCol="0"/>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dataField="1" numFmtId="164" showAll="0"/>
    <pivotField numFmtId="164" showAll="0"/>
    <pivotField showAll="0"/>
    <pivotField showAll="0"/>
    <pivotField showAll="0"/>
    <pivotField showAll="0"/>
    <pivotField showAll="0"/>
    <pivotField showAll="0">
      <items count="13">
        <item x="7"/>
        <item x="11"/>
        <item x="0"/>
        <item x="9"/>
        <item x="3"/>
        <item x="6"/>
        <item x="2"/>
        <item x="1"/>
        <item x="10"/>
        <item x="4"/>
        <item x="8"/>
        <item x="5"/>
        <item t="default"/>
      </items>
    </pivotField>
  </pivotFields>
  <rowItems count="1">
    <i/>
  </rowItems>
  <colItems count="1">
    <i/>
  </colItems>
  <dataFields count="1">
    <dataField name="Sum of Profit" fld="3" baseField="0" baseItem="0" numFmtId="166"/>
  </dataFields>
  <formats count="1">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7509D8-5C97-466B-9FCD-21DAD382D009}" name="PivotTable17"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2:X3" firstHeaderRow="1" firstDataRow="1" firstDataCol="0"/>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numFmtId="164" showAll="0"/>
    <pivotField numFmtId="164" showAll="0"/>
    <pivotField showAll="0"/>
    <pivotField showAll="0"/>
    <pivotField dataField="1" showAll="0"/>
    <pivotField showAll="0"/>
    <pivotField showAll="0"/>
    <pivotField showAll="0">
      <items count="13">
        <item x="7"/>
        <item x="11"/>
        <item x="0"/>
        <item x="9"/>
        <item x="3"/>
        <item x="6"/>
        <item x="2"/>
        <item x="1"/>
        <item x="10"/>
        <item x="4"/>
        <item x="8"/>
        <item x="5"/>
        <item t="default"/>
      </items>
    </pivotField>
  </pivotFields>
  <rowItems count="1">
    <i/>
  </rowItems>
  <colItems count="1">
    <i/>
  </colItems>
  <dataFields count="1">
    <dataField name="Sum of Customer Count"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B9F7D6-0C7E-4E27-B3DA-0B38310D7549}" name="PivotTable1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2:U3" firstHeaderRow="1" firstDataRow="1" firstDataCol="0"/>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dataField="1" numFmtId="164" showAll="0"/>
    <pivotField numFmtId="164" showAll="0"/>
    <pivotField numFmtId="164" showAll="0"/>
    <pivotField showAll="0"/>
    <pivotField showAll="0"/>
    <pivotField showAll="0"/>
    <pivotField showAll="0"/>
    <pivotField showAll="0"/>
    <pivotField showAll="0">
      <items count="13">
        <item x="7"/>
        <item x="11"/>
        <item x="0"/>
        <item x="9"/>
        <item x="3"/>
        <item x="6"/>
        <item x="2"/>
        <item x="1"/>
        <item x="10"/>
        <item x="4"/>
        <item x="8"/>
        <item x="5"/>
        <item t="default"/>
      </items>
    </pivotField>
  </pivotFields>
  <rowItems count="1">
    <i/>
  </rowItems>
  <colItems count="1">
    <i/>
  </colItems>
  <dataFields count="1">
    <dataField name="Sum of Sales" fld="2" baseField="0" baseItem="0" numFmtId="166"/>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49450D-E947-49C3-8E8B-ECFB37AF7F8E}"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2:C15" firstHeaderRow="0" firstDataRow="1" firstDataCol="1"/>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dataField="1" numFmtId="164" showAll="0"/>
    <pivotField numFmtId="164" showAll="0"/>
    <pivotField dataField="1" numFmtId="164" showAll="0"/>
    <pivotField showAll="0"/>
    <pivotField showAll="0"/>
    <pivotField showAll="0"/>
    <pivotField showAll="0"/>
    <pivotField showAll="0"/>
    <pivotField axis="axisRow" showAll="0">
      <items count="13">
        <item x="7"/>
        <item x="11"/>
        <item x="0"/>
        <item x="9"/>
        <item x="3"/>
        <item x="6"/>
        <item x="2"/>
        <item x="1"/>
        <item x="10"/>
        <item x="4"/>
        <item x="8"/>
        <item x="5"/>
        <item t="default"/>
      </items>
    </pivotField>
  </pivotFields>
  <rowFields count="1">
    <field x="1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fld="2" baseField="0" baseItem="0" numFmtId="164"/>
    <dataField name="Sum of Target Sales" fld="4" baseField="0" baseItem="0" numFmtId="164"/>
  </dataFields>
  <formats count="1">
    <format dxfId="36">
      <pivotArea collapsedLevelsAreSubtotals="1" fieldPosition="0">
        <references count="1">
          <reference field="10" count="0"/>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B6A3FF-CBAF-4238-8A1B-7441C43881DB}" name="PivotTable4"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H2:J7" firstHeaderRow="0" firstDataRow="1" firstDataCol="1"/>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axis="axisRow" showAll="0">
      <items count="5">
        <item x="2"/>
        <item x="0"/>
        <item x="1"/>
        <item x="3"/>
        <item t="default"/>
      </items>
    </pivotField>
    <pivotField dataField="1" numFmtId="164" showAll="0"/>
    <pivotField dataField="1" numFmtId="164" showAll="0"/>
    <pivotField numFmtId="164" showAll="0"/>
    <pivotField showAll="0"/>
    <pivotField showAll="0"/>
    <pivotField showAll="0"/>
    <pivotField showAll="0"/>
    <pivotField showAll="0"/>
    <pivotField showAll="0">
      <items count="13">
        <item x="7"/>
        <item x="11"/>
        <item x="0"/>
        <item x="9"/>
        <item x="3"/>
        <item x="6"/>
        <item x="2"/>
        <item x="1"/>
        <item x="10"/>
        <item x="4"/>
        <item x="8"/>
        <item x="5"/>
        <item t="default"/>
      </items>
    </pivotField>
  </pivotFields>
  <rowFields count="1">
    <field x="1"/>
  </rowFields>
  <rowItems count="5">
    <i>
      <x/>
    </i>
    <i>
      <x v="1"/>
    </i>
    <i>
      <x v="2"/>
    </i>
    <i>
      <x v="3"/>
    </i>
    <i t="grand">
      <x/>
    </i>
  </rowItems>
  <colFields count="1">
    <field x="-2"/>
  </colFields>
  <colItems count="2">
    <i>
      <x/>
    </i>
    <i i="1">
      <x v="1"/>
    </i>
  </colItems>
  <dataFields count="2">
    <dataField name="Sum of Sales" fld="2" baseField="0" baseItem="0" numFmtId="164"/>
    <dataField name="Sum of Profit" fld="3" baseField="0" baseItem="0" numFmtId="164"/>
  </dataFields>
  <formats count="1">
    <format dxfId="32">
      <pivotArea collapsedLevelsAreSubtotals="1" fieldPosition="0">
        <references count="1">
          <reference field="1" count="0"/>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DF9E1B-8FB8-4928-88D1-58871354FEBE}" name="PivotTable8"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O2:Q15" firstHeaderRow="0" firstDataRow="1" firstDataCol="1"/>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numFmtId="164" showAll="0"/>
    <pivotField numFmtId="164" showAll="0"/>
    <pivotField dataField="1" showAll="0"/>
    <pivotField dataField="1" showAll="0"/>
    <pivotField showAll="0"/>
    <pivotField showAll="0"/>
    <pivotField showAll="0"/>
    <pivotField axis="axisRow" showAll="0">
      <items count="13">
        <item x="7"/>
        <item x="11"/>
        <item x="0"/>
        <item x="9"/>
        <item x="3"/>
        <item x="6"/>
        <item x="2"/>
        <item x="1"/>
        <item x="10"/>
        <item x="4"/>
        <item x="8"/>
        <item x="5"/>
        <item t="default"/>
      </items>
    </pivotField>
  </pivotFields>
  <rowFields count="1">
    <field x="10"/>
  </rowFields>
  <rowItems count="13">
    <i>
      <x/>
    </i>
    <i>
      <x v="1"/>
    </i>
    <i>
      <x v="2"/>
    </i>
    <i>
      <x v="3"/>
    </i>
    <i>
      <x v="4"/>
    </i>
    <i>
      <x v="5"/>
    </i>
    <i>
      <x v="6"/>
    </i>
    <i>
      <x v="7"/>
    </i>
    <i>
      <x v="8"/>
    </i>
    <i>
      <x v="9"/>
    </i>
    <i>
      <x v="10"/>
    </i>
    <i>
      <x v="11"/>
    </i>
    <i t="grand">
      <x/>
    </i>
  </rowItems>
  <colFields count="1">
    <field x="-2"/>
  </colFields>
  <colItems count="2">
    <i>
      <x/>
    </i>
    <i i="1">
      <x v="1"/>
    </i>
  </colItems>
  <dataFields count="2">
    <dataField name="Sum of Cost" fld="5" baseField="0" baseItem="0"/>
    <dataField name="Sum of Expenses" fld="6" baseField="0" baseItem="0"/>
  </dataFields>
  <formats count="2">
    <format dxfId="30">
      <pivotArea outline="0" collapsedLevelsAreSubtotals="1" fieldPosition="0"/>
    </format>
    <format dxfId="31">
      <pivotArea collapsedLevelsAreSubtotals="1" fieldPosition="0">
        <references count="1">
          <reference field="10" count="0"/>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74A939C-E95B-4FF3-877D-0A7E75ADD0F6}" name="PivotTable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E2:F15" firstHeaderRow="1" firstDataRow="1" firstDataCol="1"/>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numFmtId="164" showAll="0"/>
    <pivotField numFmtId="164" showAll="0"/>
    <pivotField showAll="0"/>
    <pivotField showAll="0"/>
    <pivotField dataField="1" showAll="0"/>
    <pivotField showAll="0"/>
    <pivotField showAll="0"/>
    <pivotField axis="axisRow" showAll="0">
      <items count="13">
        <item x="7"/>
        <item x="11"/>
        <item x="0"/>
        <item x="9"/>
        <item x="3"/>
        <item x="6"/>
        <item x="2"/>
        <item x="1"/>
        <item x="10"/>
        <item x="4"/>
        <item x="8"/>
        <item x="5"/>
        <item t="default"/>
      </items>
    </pivotField>
  </pivotFields>
  <rowFields count="1">
    <field x="10"/>
  </rowFields>
  <rowItems count="13">
    <i>
      <x/>
    </i>
    <i>
      <x v="1"/>
    </i>
    <i>
      <x v="2"/>
    </i>
    <i>
      <x v="3"/>
    </i>
    <i>
      <x v="4"/>
    </i>
    <i>
      <x v="5"/>
    </i>
    <i>
      <x v="6"/>
    </i>
    <i>
      <x v="7"/>
    </i>
    <i>
      <x v="8"/>
    </i>
    <i>
      <x v="9"/>
    </i>
    <i>
      <x v="10"/>
    </i>
    <i>
      <x v="11"/>
    </i>
    <i t="grand">
      <x/>
    </i>
  </rowItems>
  <colItems count="1">
    <i/>
  </colItems>
  <dataFields count="1">
    <dataField name="Sum of Customer Count" fld="7" baseField="0" baseItem="0"/>
  </dataFields>
  <formats count="1">
    <format dxfId="33">
      <pivotArea collapsedLevelsAreSubtotals="1" fieldPosition="0">
        <references count="1">
          <reference field="10" count="0"/>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954C85-2406-486A-83E5-B4D2DABF3FF9}"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M9" firstHeaderRow="1" firstDataRow="1" firstDataCol="1"/>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numFmtId="164" showAll="0"/>
    <pivotField numFmtId="164" showAll="0"/>
    <pivotField showAll="0"/>
    <pivotField showAll="0"/>
    <pivotField showAll="0"/>
    <pivotField axis="axisRow"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dataField="1" showAll="0"/>
    <pivotField showAll="0">
      <items count="13">
        <item x="7"/>
        <item x="11"/>
        <item x="0"/>
        <item x="9"/>
        <item x="3"/>
        <item x="6"/>
        <item x="2"/>
        <item x="1"/>
        <item x="10"/>
        <item x="4"/>
        <item x="8"/>
        <item x="5"/>
        <item t="default"/>
      </items>
    </pivotField>
  </pivotFields>
  <rowFields count="1">
    <field x="8"/>
  </rowFields>
  <rowItems count="6">
    <i>
      <x v="1"/>
    </i>
    <i>
      <x v="4"/>
    </i>
    <i>
      <x v="2"/>
    </i>
    <i>
      <x v="3"/>
    </i>
    <i>
      <x/>
    </i>
    <i t="grand">
      <x/>
    </i>
  </rowItems>
  <colItems count="1">
    <i/>
  </colItems>
  <dataFields count="1">
    <dataField name="Sum of Scor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57E71B-9B25-41A5-82FB-4FCBEE098CC1}" name="PivotTable18"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2:Z3" firstHeaderRow="1" firstDataRow="1" firstDataCol="0"/>
  <pivotFields count="11">
    <pivotField showAll="0">
      <items count="925">
        <item x="566"/>
        <item x="355"/>
        <item x="637"/>
        <item x="575"/>
        <item x="164"/>
        <item x="421"/>
        <item x="557"/>
        <item x="77"/>
        <item x="186"/>
        <item x="404"/>
        <item x="14"/>
        <item x="4"/>
        <item x="21"/>
        <item x="365"/>
        <item x="439"/>
        <item x="238"/>
        <item x="564"/>
        <item x="330"/>
        <item x="576"/>
        <item x="498"/>
        <item x="382"/>
        <item x="381"/>
        <item x="823"/>
        <item x="469"/>
        <item x="110"/>
        <item x="737"/>
        <item x="27"/>
        <item x="628"/>
        <item x="739"/>
        <item x="723"/>
        <item x="485"/>
        <item x="103"/>
        <item x="280"/>
        <item x="881"/>
        <item x="80"/>
        <item x="613"/>
        <item x="549"/>
        <item x="785"/>
        <item x="585"/>
        <item x="819"/>
        <item x="101"/>
        <item x="133"/>
        <item x="696"/>
        <item x="369"/>
        <item x="187"/>
        <item x="300"/>
        <item x="565"/>
        <item x="516"/>
        <item x="401"/>
        <item x="678"/>
        <item x="877"/>
        <item x="803"/>
        <item x="627"/>
        <item x="597"/>
        <item x="580"/>
        <item x="923"/>
        <item x="116"/>
        <item x="306"/>
        <item x="433"/>
        <item x="543"/>
        <item x="481"/>
        <item x="131"/>
        <item x="328"/>
        <item x="490"/>
        <item x="827"/>
        <item x="8"/>
        <item x="893"/>
        <item x="694"/>
        <item x="0"/>
        <item x="763"/>
        <item x="736"/>
        <item x="267"/>
        <item x="633"/>
        <item x="875"/>
        <item x="462"/>
        <item x="7"/>
        <item x="788"/>
        <item x="903"/>
        <item x="356"/>
        <item x="407"/>
        <item x="282"/>
        <item x="122"/>
        <item x="396"/>
        <item x="752"/>
        <item x="448"/>
        <item x="639"/>
        <item x="701"/>
        <item x="197"/>
        <item x="863"/>
        <item x="799"/>
        <item x="792"/>
        <item x="577"/>
        <item x="922"/>
        <item x="15"/>
        <item x="773"/>
        <item x="167"/>
        <item x="400"/>
        <item x="849"/>
        <item x="290"/>
        <item x="108"/>
        <item x="778"/>
        <item x="563"/>
        <item x="46"/>
        <item x="854"/>
        <item x="645"/>
        <item x="316"/>
        <item x="612"/>
        <item x="556"/>
        <item x="625"/>
        <item x="758"/>
        <item x="1"/>
        <item x="654"/>
        <item x="351"/>
        <item x="526"/>
        <item x="733"/>
        <item x="384"/>
        <item x="318"/>
        <item x="620"/>
        <item x="63"/>
        <item x="901"/>
        <item x="459"/>
        <item x="350"/>
        <item x="106"/>
        <item x="135"/>
        <item x="271"/>
        <item x="593"/>
        <item x="544"/>
        <item x="145"/>
        <item x="198"/>
        <item x="367"/>
        <item x="315"/>
        <item x="325"/>
        <item x="871"/>
        <item x="289"/>
        <item x="398"/>
        <item x="530"/>
        <item x="495"/>
        <item x="727"/>
        <item x="266"/>
        <item x="583"/>
        <item x="234"/>
        <item x="124"/>
        <item x="431"/>
        <item x="96"/>
        <item x="755"/>
        <item x="226"/>
        <item x="317"/>
        <item x="6"/>
        <item x="402"/>
        <item x="795"/>
        <item x="761"/>
        <item x="111"/>
        <item x="832"/>
        <item x="697"/>
        <item x="275"/>
        <item x="12"/>
        <item x="93"/>
        <item x="574"/>
        <item x="215"/>
        <item x="221"/>
        <item x="596"/>
        <item x="82"/>
        <item x="506"/>
        <item x="374"/>
        <item x="19"/>
        <item x="738"/>
        <item x="601"/>
        <item x="71"/>
        <item x="296"/>
        <item x="521"/>
        <item x="138"/>
        <item x="181"/>
        <item x="307"/>
        <item x="373"/>
        <item x="425"/>
        <item x="235"/>
        <item x="735"/>
        <item x="562"/>
        <item x="150"/>
        <item x="61"/>
        <item x="10"/>
        <item x="346"/>
        <item x="681"/>
        <item x="786"/>
        <item x="776"/>
        <item x="180"/>
        <item x="79"/>
        <item x="774"/>
        <item x="81"/>
        <item x="579"/>
        <item x="783"/>
        <item x="412"/>
        <item x="833"/>
        <item x="295"/>
        <item x="297"/>
        <item x="813"/>
        <item x="767"/>
        <item x="920"/>
        <item x="319"/>
        <item x="791"/>
        <item x="387"/>
        <item x="695"/>
        <item x="434"/>
        <item x="867"/>
        <item x="219"/>
        <item x="768"/>
        <item x="684"/>
        <item x="231"/>
        <item x="789"/>
        <item x="661"/>
        <item x="422"/>
        <item x="744"/>
        <item x="850"/>
        <item x="11"/>
        <item x="692"/>
        <item x="174"/>
        <item x="229"/>
        <item x="165"/>
        <item x="72"/>
        <item x="57"/>
        <item x="573"/>
        <item x="176"/>
        <item x="865"/>
        <item x="251"/>
        <item x="834"/>
        <item x="921"/>
        <item x="790"/>
        <item x="458"/>
        <item x="777"/>
        <item x="466"/>
        <item x="314"/>
        <item x="889"/>
        <item x="706"/>
        <item x="494"/>
        <item x="414"/>
        <item x="635"/>
        <item x="123"/>
        <item x="128"/>
        <item x="672"/>
        <item x="49"/>
        <item x="84"/>
        <item x="818"/>
        <item x="674"/>
        <item x="829"/>
        <item x="619"/>
        <item x="547"/>
        <item x="710"/>
        <item x="457"/>
        <item x="97"/>
        <item x="157"/>
        <item x="587"/>
        <item x="403"/>
        <item x="360"/>
        <item x="276"/>
        <item x="844"/>
        <item x="349"/>
        <item x="308"/>
        <item x="662"/>
        <item x="533"/>
        <item x="86"/>
        <item x="787"/>
        <item x="471"/>
        <item x="705"/>
        <item x="781"/>
        <item x="492"/>
        <item x="666"/>
        <item x="535"/>
        <item x="838"/>
        <item x="749"/>
        <item x="259"/>
        <item x="287"/>
        <item x="378"/>
        <item x="470"/>
        <item x="301"/>
        <item x="23"/>
        <item x="105"/>
        <item x="441"/>
        <item x="519"/>
        <item x="200"/>
        <item x="56"/>
        <item x="409"/>
        <item x="340"/>
        <item x="853"/>
        <item x="222"/>
        <item x="848"/>
        <item x="508"/>
        <item x="43"/>
        <item x="793"/>
        <item x="887"/>
        <item x="638"/>
        <item x="391"/>
        <item x="890"/>
        <item x="751"/>
        <item x="20"/>
        <item x="112"/>
        <item x="397"/>
        <item x="842"/>
        <item x="283"/>
        <item x="239"/>
        <item x="359"/>
        <item x="260"/>
        <item x="718"/>
        <item x="868"/>
        <item x="277"/>
        <item x="386"/>
        <item x="210"/>
        <item x="682"/>
        <item x="383"/>
        <item x="500"/>
        <item x="76"/>
        <item x="341"/>
        <item x="862"/>
        <item x="405"/>
        <item x="632"/>
        <item x="134"/>
        <item x="489"/>
        <item x="395"/>
        <item x="642"/>
        <item x="809"/>
        <item x="771"/>
        <item x="137"/>
        <item x="805"/>
        <item x="589"/>
        <item x="322"/>
        <item x="258"/>
        <item x="246"/>
        <item x="691"/>
        <item x="668"/>
        <item x="595"/>
        <item x="393"/>
        <item x="127"/>
        <item x="85"/>
        <item x="293"/>
        <item x="484"/>
        <item x="742"/>
        <item x="52"/>
        <item x="497"/>
        <item x="377"/>
        <item x="600"/>
        <item x="270"/>
        <item x="797"/>
        <item x="828"/>
        <item x="712"/>
        <item x="406"/>
        <item x="680"/>
        <item x="806"/>
        <item x="3"/>
        <item x="67"/>
        <item x="428"/>
        <item x="302"/>
        <item x="531"/>
        <item x="432"/>
        <item x="172"/>
        <item x="178"/>
        <item x="599"/>
        <item x="525"/>
        <item x="894"/>
        <item x="743"/>
        <item x="810"/>
        <item x="629"/>
        <item x="869"/>
        <item x="22"/>
        <item x="354"/>
        <item x="685"/>
        <item x="713"/>
        <item x="45"/>
        <item x="714"/>
        <item x="366"/>
        <item x="216"/>
        <item x="808"/>
        <item x="614"/>
        <item x="352"/>
        <item x="418"/>
        <item x="408"/>
        <item x="132"/>
        <item x="304"/>
        <item x="891"/>
        <item x="846"/>
        <item x="512"/>
        <item x="254"/>
        <item x="825"/>
        <item x="622"/>
        <item x="883"/>
        <item x="339"/>
        <item x="631"/>
        <item x="910"/>
        <item x="36"/>
        <item x="740"/>
        <item x="148"/>
        <item x="310"/>
        <item x="371"/>
        <item x="499"/>
        <item x="504"/>
        <item x="194"/>
        <item x="250"/>
        <item x="611"/>
        <item x="475"/>
        <item x="623"/>
        <item x="442"/>
        <item x="426"/>
        <item x="336"/>
        <item x="748"/>
        <item x="107"/>
        <item x="917"/>
        <item x="518"/>
        <item x="152"/>
        <item x="550"/>
        <item x="249"/>
        <item x="510"/>
        <item x="888"/>
        <item x="55"/>
        <item x="704"/>
        <item x="205"/>
        <item x="218"/>
        <item x="540"/>
        <item x="919"/>
        <item x="555"/>
        <item x="136"/>
        <item x="345"/>
        <item x="344"/>
        <item x="177"/>
        <item x="541"/>
        <item x="769"/>
        <item x="839"/>
        <item x="801"/>
        <item x="728"/>
        <item x="909"/>
        <item x="915"/>
        <item x="916"/>
        <item x="202"/>
        <item x="284"/>
        <item x="170"/>
        <item x="309"/>
        <item x="379"/>
        <item x="252"/>
        <item x="715"/>
        <item x="33"/>
        <item x="660"/>
        <item x="885"/>
        <item x="24"/>
        <item x="62"/>
        <item x="244"/>
        <item x="487"/>
        <item x="505"/>
        <item x="830"/>
        <item x="616"/>
        <item x="478"/>
        <item x="594"/>
        <item x="324"/>
        <item x="188"/>
        <item x="732"/>
        <item x="155"/>
        <item x="630"/>
        <item x="688"/>
        <item x="228"/>
        <item x="173"/>
        <item x="274"/>
        <item x="860"/>
        <item x="709"/>
        <item x="185"/>
        <item x="416"/>
        <item x="754"/>
        <item x="247"/>
        <item x="716"/>
        <item x="812"/>
        <item x="453"/>
        <item x="760"/>
        <item x="168"/>
        <item x="482"/>
        <item x="636"/>
        <item x="59"/>
        <item x="606"/>
        <item x="872"/>
        <item x="370"/>
        <item x="720"/>
        <item x="648"/>
        <item x="762"/>
        <item x="856"/>
        <item x="413"/>
        <item x="615"/>
        <item x="264"/>
        <item x="286"/>
        <item x="182"/>
        <item x="747"/>
        <item x="796"/>
        <item x="861"/>
        <item x="64"/>
        <item x="146"/>
        <item x="358"/>
        <item x="362"/>
        <item x="121"/>
        <item x="113"/>
        <item x="514"/>
        <item x="118"/>
        <item x="551"/>
        <item x="60"/>
        <item x="44"/>
        <item x="581"/>
        <item x="455"/>
        <item x="73"/>
        <item x="472"/>
        <item x="261"/>
        <item x="196"/>
        <item x="608"/>
        <item x="503"/>
        <item x="689"/>
        <item x="94"/>
        <item x="474"/>
        <item x="312"/>
        <item x="342"/>
        <item x="683"/>
        <item x="859"/>
        <item x="835"/>
        <item x="509"/>
        <item x="162"/>
        <item x="361"/>
        <item x="435"/>
        <item x="203"/>
        <item x="199"/>
        <item x="184"/>
        <item x="39"/>
        <item x="154"/>
        <item x="429"/>
        <item x="902"/>
        <item x="31"/>
        <item x="841"/>
        <item x="291"/>
        <item x="821"/>
        <item x="699"/>
        <item x="876"/>
        <item x="690"/>
        <item x="670"/>
        <item x="35"/>
        <item x="702"/>
        <item x="532"/>
        <item x="368"/>
        <item x="87"/>
        <item x="206"/>
        <item x="649"/>
        <item x="906"/>
        <item x="721"/>
        <item x="364"/>
        <item x="440"/>
        <item x="843"/>
        <item x="262"/>
        <item x="192"/>
        <item x="572"/>
        <item x="558"/>
        <item x="617"/>
        <item x="621"/>
        <item x="907"/>
        <item x="2"/>
        <item x="51"/>
        <item x="804"/>
        <item x="879"/>
        <item x="444"/>
        <item x="281"/>
        <item x="878"/>
        <item x="191"/>
        <item x="53"/>
        <item x="357"/>
        <item x="50"/>
        <item x="467"/>
        <item x="782"/>
        <item x="913"/>
        <item x="423"/>
        <item x="687"/>
        <item x="892"/>
        <item x="822"/>
        <item x="399"/>
        <item x="590"/>
        <item x="548"/>
        <item x="912"/>
        <item x="647"/>
        <item x="724"/>
        <item x="227"/>
        <item x="214"/>
        <item x="153"/>
        <item x="717"/>
        <item x="461"/>
        <item x="665"/>
        <item x="452"/>
        <item x="591"/>
        <item x="679"/>
        <item x="873"/>
        <item x="520"/>
        <item x="195"/>
        <item x="663"/>
        <item x="711"/>
        <item x="653"/>
        <item x="272"/>
        <item x="125"/>
        <item x="725"/>
        <item x="334"/>
        <item x="610"/>
        <item x="626"/>
        <item x="13"/>
        <item x="669"/>
        <item x="265"/>
        <item x="522"/>
        <item x="473"/>
        <item x="75"/>
        <item x="523"/>
        <item x="240"/>
        <item x="99"/>
        <item x="780"/>
        <item x="476"/>
        <item x="866"/>
        <item x="126"/>
        <item x="90"/>
        <item x="753"/>
        <item x="29"/>
        <item x="847"/>
        <item x="798"/>
        <item x="89"/>
        <item x="852"/>
        <item x="904"/>
        <item x="757"/>
        <item x="488"/>
        <item x="864"/>
        <item x="142"/>
        <item x="41"/>
        <item x="237"/>
        <item x="456"/>
        <item x="882"/>
        <item x="353"/>
        <item x="817"/>
        <item x="815"/>
        <item x="279"/>
        <item x="294"/>
        <item x="640"/>
        <item x="292"/>
        <item x="303"/>
        <item x="329"/>
        <item x="58"/>
        <item x="37"/>
        <item x="417"/>
        <item x="538"/>
        <item x="388"/>
        <item x="17"/>
        <item x="119"/>
        <item x="784"/>
        <item x="5"/>
        <item x="156"/>
        <item x="299"/>
        <item x="686"/>
        <item x="765"/>
        <item x="323"/>
        <item x="102"/>
        <item x="656"/>
        <item x="183"/>
        <item x="658"/>
        <item x="114"/>
        <item x="824"/>
        <item x="68"/>
        <item x="454"/>
        <item x="18"/>
        <item x="570"/>
        <item x="886"/>
        <item x="719"/>
        <item x="175"/>
        <item x="209"/>
        <item x="313"/>
        <item x="673"/>
        <item x="911"/>
        <item x="807"/>
        <item x="643"/>
        <item x="65"/>
        <item x="908"/>
        <item x="88"/>
        <item x="772"/>
        <item x="517"/>
        <item x="450"/>
        <item x="158"/>
        <item x="140"/>
        <item x="151"/>
        <item x="646"/>
        <item x="826"/>
        <item x="884"/>
        <item x="831"/>
        <item x="48"/>
        <item x="343"/>
        <item x="858"/>
        <item x="347"/>
        <item x="676"/>
        <item x="641"/>
        <item x="515"/>
        <item x="327"/>
        <item x="115"/>
        <item x="230"/>
        <item x="161"/>
        <item x="479"/>
        <item x="698"/>
        <item x="141"/>
        <item x="213"/>
        <item x="25"/>
        <item x="443"/>
        <item x="677"/>
        <item x="70"/>
        <item x="603"/>
        <item x="561"/>
        <item x="225"/>
        <item x="117"/>
        <item x="375"/>
        <item x="331"/>
        <item x="657"/>
        <item x="348"/>
        <item x="671"/>
        <item x="376"/>
        <item x="726"/>
        <item x="321"/>
        <item x="571"/>
        <item x="338"/>
        <item x="820"/>
        <item x="750"/>
        <item x="644"/>
        <item x="78"/>
        <item x="707"/>
        <item x="586"/>
        <item x="98"/>
        <item x="598"/>
        <item x="332"/>
        <item x="845"/>
        <item x="30"/>
        <item x="47"/>
        <item x="528"/>
        <item x="189"/>
        <item x="607"/>
        <item x="568"/>
        <item x="159"/>
        <item x="320"/>
        <item x="104"/>
        <item x="333"/>
        <item x="814"/>
        <item x="652"/>
        <item x="703"/>
        <item x="655"/>
        <item x="693"/>
        <item x="759"/>
        <item x="880"/>
        <item x="545"/>
        <item x="764"/>
        <item x="305"/>
        <item x="415"/>
        <item x="437"/>
        <item x="243"/>
        <item x="618"/>
        <item x="465"/>
        <item x="496"/>
        <item x="536"/>
        <item x="220"/>
        <item x="232"/>
        <item x="420"/>
        <item x="664"/>
        <item x="507"/>
        <item x="870"/>
        <item x="800"/>
        <item x="560"/>
        <item x="524"/>
        <item x="794"/>
        <item x="857"/>
        <item x="34"/>
        <item x="171"/>
        <item x="552"/>
        <item x="816"/>
        <item x="567"/>
        <item x="741"/>
        <item x="74"/>
        <item x="855"/>
        <item x="253"/>
        <item x="392"/>
        <item x="730"/>
        <item x="779"/>
        <item x="241"/>
        <item x="411"/>
        <item x="802"/>
        <item x="38"/>
        <item x="212"/>
        <item x="650"/>
        <item x="840"/>
        <item x="410"/>
        <item x="390"/>
        <item x="592"/>
        <item x="542"/>
        <item x="895"/>
        <item x="179"/>
        <item x="554"/>
        <item x="624"/>
        <item x="193"/>
        <item x="578"/>
        <item x="201"/>
        <item x="837"/>
        <item x="766"/>
        <item x="836"/>
        <item x="493"/>
        <item x="588"/>
        <item x="144"/>
        <item x="363"/>
        <item x="109"/>
        <item x="659"/>
        <item x="269"/>
        <item x="130"/>
        <item x="602"/>
        <item x="584"/>
        <item x="32"/>
        <item x="92"/>
        <item x="483"/>
        <item x="9"/>
        <item x="273"/>
        <item x="513"/>
        <item x="166"/>
        <item x="529"/>
        <item x="569"/>
        <item x="464"/>
        <item x="539"/>
        <item x="326"/>
        <item x="667"/>
        <item x="288"/>
        <item x="451"/>
        <item x="468"/>
        <item x="447"/>
        <item x="460"/>
        <item x="419"/>
        <item x="16"/>
        <item x="811"/>
        <item x="918"/>
        <item x="553"/>
        <item x="427"/>
        <item x="143"/>
        <item x="582"/>
        <item x="28"/>
        <item x="66"/>
        <item x="385"/>
        <item x="337"/>
        <item x="770"/>
        <item x="651"/>
        <item x="263"/>
        <item x="708"/>
        <item x="527"/>
        <item x="874"/>
        <item x="236"/>
        <item x="898"/>
        <item x="211"/>
        <item x="372"/>
        <item x="311"/>
        <item x="91"/>
        <item x="242"/>
        <item x="233"/>
        <item x="26"/>
        <item x="40"/>
        <item x="438"/>
        <item x="722"/>
        <item x="900"/>
        <item x="204"/>
        <item x="255"/>
        <item x="502"/>
        <item x="83"/>
        <item x="163"/>
        <item x="208"/>
        <item x="285"/>
        <item x="609"/>
        <item x="139"/>
        <item x="745"/>
        <item x="775"/>
        <item x="605"/>
        <item x="546"/>
        <item x="436"/>
        <item x="42"/>
        <item x="511"/>
        <item x="100"/>
        <item x="446"/>
        <item x="147"/>
        <item x="380"/>
        <item x="899"/>
        <item x="69"/>
        <item x="389"/>
        <item x="149"/>
        <item x="223"/>
        <item x="256"/>
        <item x="491"/>
        <item x="268"/>
        <item x="278"/>
        <item x="734"/>
        <item x="298"/>
        <item x="537"/>
        <item x="729"/>
        <item x="207"/>
        <item x="477"/>
        <item x="463"/>
        <item x="486"/>
        <item x="851"/>
        <item x="217"/>
        <item x="700"/>
        <item x="559"/>
        <item x="430"/>
        <item x="445"/>
        <item x="335"/>
        <item x="634"/>
        <item x="248"/>
        <item x="731"/>
        <item x="897"/>
        <item x="394"/>
        <item x="245"/>
        <item x="54"/>
        <item x="896"/>
        <item x="905"/>
        <item x="914"/>
        <item x="756"/>
        <item x="224"/>
        <item x="501"/>
        <item x="480"/>
        <item x="120"/>
        <item x="534"/>
        <item x="424"/>
        <item x="746"/>
        <item x="190"/>
        <item x="604"/>
        <item x="129"/>
        <item x="449"/>
        <item x="169"/>
        <item x="160"/>
        <item x="257"/>
        <item x="675"/>
        <item x="95"/>
        <item t="default"/>
      </items>
    </pivotField>
    <pivotField showAll="0">
      <items count="5">
        <item x="2"/>
        <item x="0"/>
        <item x="1"/>
        <item x="3"/>
        <item t="default"/>
      </items>
    </pivotField>
    <pivotField numFmtId="164" showAll="0"/>
    <pivotField numFmtId="164" showAll="0"/>
    <pivotField dataField="1" numFmtId="164" showAll="0"/>
    <pivotField showAll="0"/>
    <pivotField showAll="0"/>
    <pivotField showAll="0"/>
    <pivotField showAll="0"/>
    <pivotField showAll="0"/>
    <pivotField showAll="0">
      <items count="13">
        <item x="7"/>
        <item x="11"/>
        <item x="0"/>
        <item x="9"/>
        <item x="3"/>
        <item x="6"/>
        <item x="2"/>
        <item x="1"/>
        <item x="10"/>
        <item x="4"/>
        <item x="8"/>
        <item x="5"/>
        <item t="default"/>
      </items>
    </pivotField>
  </pivotFields>
  <rowItems count="1">
    <i/>
  </rowItems>
  <colItems count="1">
    <i/>
  </colItems>
  <dataFields count="1">
    <dataField name="Sum of Target Sales"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2C3FE5FA-380A-452B-992E-6C3C09E82C36}" sourceName="Branch">
  <pivotTables>
    <pivotTable tabId="2" name="PivotTable3"/>
    <pivotTable tabId="2" name="PivotTable15"/>
    <pivotTable tabId="2" name="PivotTable16"/>
    <pivotTable tabId="2" name="PivotTable17"/>
    <pivotTable tabId="2" name="PivotTable18"/>
    <pivotTable tabId="2" name="PivotTable2"/>
    <pivotTable tabId="2" name="PivotTable4"/>
    <pivotTable tabId="2" name="PivotTable5"/>
    <pivotTable tabId="2" name="PivotTable8"/>
  </pivotTables>
  <data>
    <tabular pivotCacheId="1680105748">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229C6C5-A91F-4375-A789-F69C62614E1A}" sourceName="Date">
  <pivotTables>
    <pivotTable tabId="2" name="PivotTable3"/>
    <pivotTable tabId="2" name="PivotTable15"/>
    <pivotTable tabId="2" name="PivotTable16"/>
    <pivotTable tabId="2" name="PivotTable17"/>
    <pivotTable tabId="2" name="PivotTable18"/>
    <pivotTable tabId="2" name="PivotTable2"/>
    <pivotTable tabId="2" name="PivotTable4"/>
    <pivotTable tabId="2" name="PivotTable5"/>
    <pivotTable tabId="2" name="PivotTable8"/>
  </pivotTables>
  <data>
    <tabular pivotCacheId="1680105748">
      <items count="924">
        <i x="566" s="1"/>
        <i x="355" s="1"/>
        <i x="637" s="1"/>
        <i x="575" s="1"/>
        <i x="164" s="1"/>
        <i x="421" s="1"/>
        <i x="557" s="1"/>
        <i x="77" s="1"/>
        <i x="186" s="1"/>
        <i x="404" s="1"/>
        <i x="14" s="1"/>
        <i x="4" s="1"/>
        <i x="21" s="1"/>
        <i x="365" s="1"/>
        <i x="439" s="1"/>
        <i x="238" s="1"/>
        <i x="564" s="1"/>
        <i x="330" s="1"/>
        <i x="576" s="1"/>
        <i x="498" s="1"/>
        <i x="382" s="1"/>
        <i x="381" s="1"/>
        <i x="823" s="1"/>
        <i x="469" s="1"/>
        <i x="110" s="1"/>
        <i x="737" s="1"/>
        <i x="27" s="1"/>
        <i x="628" s="1"/>
        <i x="739" s="1"/>
        <i x="723" s="1"/>
        <i x="485" s="1"/>
        <i x="103" s="1"/>
        <i x="280" s="1"/>
        <i x="881" s="1"/>
        <i x="80" s="1"/>
        <i x="613" s="1"/>
        <i x="549" s="1"/>
        <i x="785" s="1"/>
        <i x="585" s="1"/>
        <i x="819" s="1"/>
        <i x="101" s="1"/>
        <i x="133" s="1"/>
        <i x="696" s="1"/>
        <i x="369" s="1"/>
        <i x="187" s="1"/>
        <i x="300" s="1"/>
        <i x="565" s="1"/>
        <i x="516" s="1"/>
        <i x="401" s="1"/>
        <i x="678" s="1"/>
        <i x="877" s="1"/>
        <i x="803" s="1"/>
        <i x="627" s="1"/>
        <i x="597" s="1"/>
        <i x="580" s="1"/>
        <i x="923" s="1"/>
        <i x="116" s="1"/>
        <i x="306" s="1"/>
        <i x="433" s="1"/>
        <i x="543" s="1"/>
        <i x="481" s="1"/>
        <i x="131" s="1"/>
        <i x="328" s="1"/>
        <i x="490" s="1"/>
        <i x="827" s="1"/>
        <i x="8" s="1"/>
        <i x="893" s="1"/>
        <i x="694" s="1"/>
        <i x="0" s="1"/>
        <i x="763" s="1"/>
        <i x="736" s="1"/>
        <i x="267" s="1"/>
        <i x="633" s="1"/>
        <i x="875" s="1"/>
        <i x="462" s="1"/>
        <i x="7" s="1"/>
        <i x="788" s="1"/>
        <i x="903" s="1"/>
        <i x="356" s="1"/>
        <i x="407" s="1"/>
        <i x="282" s="1"/>
        <i x="122" s="1"/>
        <i x="396" s="1"/>
        <i x="752" s="1"/>
        <i x="448" s="1"/>
        <i x="639" s="1"/>
        <i x="701" s="1"/>
        <i x="197" s="1"/>
        <i x="863" s="1"/>
        <i x="799" s="1"/>
        <i x="792" s="1"/>
        <i x="577" s="1"/>
        <i x="922" s="1"/>
        <i x="15" s="1"/>
        <i x="773" s="1"/>
        <i x="167" s="1"/>
        <i x="400" s="1"/>
        <i x="849" s="1"/>
        <i x="290" s="1"/>
        <i x="108" s="1"/>
        <i x="778" s="1"/>
        <i x="563" s="1"/>
        <i x="46" s="1"/>
        <i x="854" s="1"/>
        <i x="645" s="1"/>
        <i x="316" s="1"/>
        <i x="612" s="1"/>
        <i x="556" s="1"/>
        <i x="625" s="1"/>
        <i x="758" s="1"/>
        <i x="1" s="1"/>
        <i x="654" s="1"/>
        <i x="351" s="1"/>
        <i x="526" s="1"/>
        <i x="733" s="1"/>
        <i x="384" s="1"/>
        <i x="318" s="1"/>
        <i x="620" s="1"/>
        <i x="63" s="1"/>
        <i x="901" s="1"/>
        <i x="459" s="1"/>
        <i x="350" s="1"/>
        <i x="106" s="1"/>
        <i x="135" s="1"/>
        <i x="271" s="1"/>
        <i x="593" s="1"/>
        <i x="544" s="1"/>
        <i x="145" s="1"/>
        <i x="198" s="1"/>
        <i x="367" s="1"/>
        <i x="315" s="1"/>
        <i x="325" s="1"/>
        <i x="871" s="1"/>
        <i x="289" s="1"/>
        <i x="398" s="1"/>
        <i x="530" s="1"/>
        <i x="495" s="1"/>
        <i x="727" s="1"/>
        <i x="266" s="1"/>
        <i x="583" s="1"/>
        <i x="234" s="1"/>
        <i x="124" s="1"/>
        <i x="431" s="1"/>
        <i x="96" s="1"/>
        <i x="755" s="1"/>
        <i x="226" s="1"/>
        <i x="317" s="1"/>
        <i x="6" s="1"/>
        <i x="402" s="1"/>
        <i x="795" s="1"/>
        <i x="761" s="1"/>
        <i x="111" s="1"/>
        <i x="832" s="1"/>
        <i x="697" s="1"/>
        <i x="275" s="1"/>
        <i x="12" s="1"/>
        <i x="93" s="1"/>
        <i x="574" s="1"/>
        <i x="215" s="1"/>
        <i x="221" s="1"/>
        <i x="596" s="1"/>
        <i x="82" s="1"/>
        <i x="506" s="1"/>
        <i x="374" s="1"/>
        <i x="19" s="1"/>
        <i x="738" s="1"/>
        <i x="601" s="1"/>
        <i x="71" s="1"/>
        <i x="296" s="1"/>
        <i x="521" s="1"/>
        <i x="138" s="1"/>
        <i x="181" s="1"/>
        <i x="307" s="1"/>
        <i x="373" s="1"/>
        <i x="425" s="1"/>
        <i x="235" s="1"/>
        <i x="735" s="1"/>
        <i x="562" s="1"/>
        <i x="150" s="1"/>
        <i x="61" s="1"/>
        <i x="10" s="1"/>
        <i x="346" s="1"/>
        <i x="681" s="1"/>
        <i x="786" s="1"/>
        <i x="776" s="1"/>
        <i x="180" s="1"/>
        <i x="79" s="1"/>
        <i x="774" s="1"/>
        <i x="81" s="1"/>
        <i x="579" s="1"/>
        <i x="783" s="1"/>
        <i x="412" s="1"/>
        <i x="833" s="1"/>
        <i x="295" s="1"/>
        <i x="297" s="1"/>
        <i x="813" s="1"/>
        <i x="767" s="1"/>
        <i x="920" s="1"/>
        <i x="319" s="1"/>
        <i x="791" s="1"/>
        <i x="387" s="1"/>
        <i x="695" s="1"/>
        <i x="434" s="1"/>
        <i x="867" s="1"/>
        <i x="219" s="1"/>
        <i x="768" s="1"/>
        <i x="684" s="1"/>
        <i x="231" s="1"/>
        <i x="789" s="1"/>
        <i x="661" s="1"/>
        <i x="422" s="1"/>
        <i x="744" s="1"/>
        <i x="850" s="1"/>
        <i x="11" s="1"/>
        <i x="692" s="1"/>
        <i x="174" s="1"/>
        <i x="229" s="1"/>
        <i x="165" s="1"/>
        <i x="72" s="1"/>
        <i x="57" s="1"/>
        <i x="573" s="1"/>
        <i x="176" s="1"/>
        <i x="865" s="1"/>
        <i x="251" s="1"/>
        <i x="834" s="1"/>
        <i x="921" s="1"/>
        <i x="790" s="1"/>
        <i x="458" s="1"/>
        <i x="777" s="1"/>
        <i x="466" s="1"/>
        <i x="314" s="1"/>
        <i x="889" s="1"/>
        <i x="706" s="1"/>
        <i x="494" s="1"/>
        <i x="414" s="1"/>
        <i x="635" s="1"/>
        <i x="123" s="1"/>
        <i x="128" s="1"/>
        <i x="672" s="1"/>
        <i x="49" s="1"/>
        <i x="84" s="1"/>
        <i x="818" s="1"/>
        <i x="674" s="1"/>
        <i x="829" s="1"/>
        <i x="619" s="1"/>
        <i x="547" s="1"/>
        <i x="710" s="1"/>
        <i x="457" s="1"/>
        <i x="97" s="1"/>
        <i x="157" s="1"/>
        <i x="587" s="1"/>
        <i x="403" s="1"/>
        <i x="360" s="1"/>
        <i x="276" s="1"/>
        <i x="844" s="1"/>
        <i x="349" s="1"/>
        <i x="308" s="1"/>
        <i x="662" s="1"/>
        <i x="533" s="1"/>
        <i x="86" s="1"/>
        <i x="787" s="1"/>
        <i x="471" s="1"/>
        <i x="705" s="1"/>
        <i x="781" s="1"/>
        <i x="492" s="1"/>
        <i x="666" s="1"/>
        <i x="535" s="1"/>
        <i x="838" s="1"/>
        <i x="749" s="1"/>
        <i x="259" s="1"/>
        <i x="287" s="1"/>
        <i x="378" s="1"/>
        <i x="470" s="1"/>
        <i x="301" s="1"/>
        <i x="23" s="1"/>
        <i x="105" s="1"/>
        <i x="441" s="1"/>
        <i x="519" s="1"/>
        <i x="200" s="1"/>
        <i x="56" s="1"/>
        <i x="409" s="1"/>
        <i x="340" s="1"/>
        <i x="853" s="1"/>
        <i x="222" s="1"/>
        <i x="848" s="1"/>
        <i x="508" s="1"/>
        <i x="43" s="1"/>
        <i x="793" s="1"/>
        <i x="887" s="1"/>
        <i x="638" s="1"/>
        <i x="391" s="1"/>
        <i x="890" s="1"/>
        <i x="751" s="1"/>
        <i x="20" s="1"/>
        <i x="112" s="1"/>
        <i x="397" s="1"/>
        <i x="842" s="1"/>
        <i x="283" s="1"/>
        <i x="239" s="1"/>
        <i x="359" s="1"/>
        <i x="260" s="1"/>
        <i x="718" s="1"/>
        <i x="868" s="1"/>
        <i x="277" s="1"/>
        <i x="386" s="1"/>
        <i x="210" s="1"/>
        <i x="682" s="1"/>
        <i x="383" s="1"/>
        <i x="500" s="1"/>
        <i x="76" s="1"/>
        <i x="341" s="1"/>
        <i x="862" s="1"/>
        <i x="405" s="1"/>
        <i x="632" s="1"/>
        <i x="134" s="1"/>
        <i x="489" s="1"/>
        <i x="395" s="1"/>
        <i x="642" s="1"/>
        <i x="809" s="1"/>
        <i x="771" s="1"/>
        <i x="137" s="1"/>
        <i x="805" s="1"/>
        <i x="589" s="1"/>
        <i x="322" s="1"/>
        <i x="258" s="1"/>
        <i x="246" s="1"/>
        <i x="691" s="1"/>
        <i x="668" s="1"/>
        <i x="595" s="1"/>
        <i x="393" s="1"/>
        <i x="127" s="1"/>
        <i x="85" s="1"/>
        <i x="293" s="1"/>
        <i x="484" s="1"/>
        <i x="742" s="1"/>
        <i x="52" s="1"/>
        <i x="497" s="1"/>
        <i x="377" s="1"/>
        <i x="600" s="1"/>
        <i x="270" s="1"/>
        <i x="797" s="1"/>
        <i x="828" s="1"/>
        <i x="712" s="1"/>
        <i x="406" s="1"/>
        <i x="680" s="1"/>
        <i x="806" s="1"/>
        <i x="3" s="1"/>
        <i x="67" s="1"/>
        <i x="428" s="1"/>
        <i x="302" s="1"/>
        <i x="531" s="1"/>
        <i x="432" s="1"/>
        <i x="172" s="1"/>
        <i x="178" s="1"/>
        <i x="599" s="1"/>
        <i x="525" s="1"/>
        <i x="894" s="1"/>
        <i x="743" s="1"/>
        <i x="810" s="1"/>
        <i x="629" s="1"/>
        <i x="869" s="1"/>
        <i x="22" s="1"/>
        <i x="354" s="1"/>
        <i x="685" s="1"/>
        <i x="713" s="1"/>
        <i x="45" s="1"/>
        <i x="714" s="1"/>
        <i x="366" s="1"/>
        <i x="216" s="1"/>
        <i x="808" s="1"/>
        <i x="614" s="1"/>
        <i x="352" s="1"/>
        <i x="418" s="1"/>
        <i x="408" s="1"/>
        <i x="132" s="1"/>
        <i x="304" s="1"/>
        <i x="891" s="1"/>
        <i x="846" s="1"/>
        <i x="512" s="1"/>
        <i x="254" s="1"/>
        <i x="825" s="1"/>
        <i x="622" s="1"/>
        <i x="883" s="1"/>
        <i x="339" s="1"/>
        <i x="631" s="1"/>
        <i x="910" s="1"/>
        <i x="36" s="1"/>
        <i x="740" s="1"/>
        <i x="148" s="1"/>
        <i x="310" s="1"/>
        <i x="371" s="1"/>
        <i x="499" s="1"/>
        <i x="504" s="1"/>
        <i x="194" s="1"/>
        <i x="250" s="1"/>
        <i x="611" s="1"/>
        <i x="475" s="1"/>
        <i x="623" s="1"/>
        <i x="442" s="1"/>
        <i x="426" s="1"/>
        <i x="336" s="1"/>
        <i x="748" s="1"/>
        <i x="107" s="1"/>
        <i x="917" s="1"/>
        <i x="518" s="1"/>
        <i x="152" s="1"/>
        <i x="550" s="1"/>
        <i x="249" s="1"/>
        <i x="510" s="1"/>
        <i x="888" s="1"/>
        <i x="55" s="1"/>
        <i x="704" s="1"/>
        <i x="205" s="1"/>
        <i x="218" s="1"/>
        <i x="540" s="1"/>
        <i x="919" s="1"/>
        <i x="555" s="1"/>
        <i x="136" s="1"/>
        <i x="345" s="1"/>
        <i x="344" s="1"/>
        <i x="177" s="1"/>
        <i x="541" s="1"/>
        <i x="769" s="1"/>
        <i x="839" s="1"/>
        <i x="801" s="1"/>
        <i x="728" s="1"/>
        <i x="909" s="1"/>
        <i x="915" s="1"/>
        <i x="916" s="1"/>
        <i x="202" s="1"/>
        <i x="284" s="1"/>
        <i x="170" s="1"/>
        <i x="309" s="1"/>
        <i x="379" s="1"/>
        <i x="252" s="1"/>
        <i x="715" s="1"/>
        <i x="33" s="1"/>
        <i x="660" s="1"/>
        <i x="885" s="1"/>
        <i x="24" s="1"/>
        <i x="62" s="1"/>
        <i x="244" s="1"/>
        <i x="487" s="1"/>
        <i x="505" s="1"/>
        <i x="830" s="1"/>
        <i x="616" s="1"/>
        <i x="478" s="1"/>
        <i x="594" s="1"/>
        <i x="324" s="1"/>
        <i x="188" s="1"/>
        <i x="732" s="1"/>
        <i x="155" s="1"/>
        <i x="630" s="1"/>
        <i x="688" s="1"/>
        <i x="228" s="1"/>
        <i x="173" s="1"/>
        <i x="274" s="1"/>
        <i x="860" s="1"/>
        <i x="709" s="1"/>
        <i x="185" s="1"/>
        <i x="416" s="1"/>
        <i x="754" s="1"/>
        <i x="247" s="1"/>
        <i x="716" s="1"/>
        <i x="812" s="1"/>
        <i x="453" s="1"/>
        <i x="760" s="1"/>
        <i x="168" s="1"/>
        <i x="482" s="1"/>
        <i x="636" s="1"/>
        <i x="59" s="1"/>
        <i x="606" s="1"/>
        <i x="872" s="1"/>
        <i x="370" s="1"/>
        <i x="720" s="1"/>
        <i x="648" s="1"/>
        <i x="762" s="1"/>
        <i x="856" s="1"/>
        <i x="413" s="1"/>
        <i x="615" s="1"/>
        <i x="264" s="1"/>
        <i x="286" s="1"/>
        <i x="182" s="1"/>
        <i x="747" s="1"/>
        <i x="796" s="1"/>
        <i x="861" s="1"/>
        <i x="64" s="1"/>
        <i x="146" s="1"/>
        <i x="358" s="1"/>
        <i x="362" s="1"/>
        <i x="121" s="1"/>
        <i x="113" s="1"/>
        <i x="514" s="1"/>
        <i x="118" s="1"/>
        <i x="551" s="1"/>
        <i x="60" s="1"/>
        <i x="44" s="1"/>
        <i x="581" s="1"/>
        <i x="455" s="1"/>
        <i x="73" s="1"/>
        <i x="472" s="1"/>
        <i x="261" s="1"/>
        <i x="196" s="1"/>
        <i x="608" s="1"/>
        <i x="503" s="1"/>
        <i x="689" s="1"/>
        <i x="94" s="1"/>
        <i x="474" s="1"/>
        <i x="312" s="1"/>
        <i x="342" s="1"/>
        <i x="683" s="1"/>
        <i x="859" s="1"/>
        <i x="835" s="1"/>
        <i x="509" s="1"/>
        <i x="162" s="1"/>
        <i x="361" s="1"/>
        <i x="435" s="1"/>
        <i x="203" s="1"/>
        <i x="199" s="1"/>
        <i x="184" s="1"/>
        <i x="39" s="1"/>
        <i x="154" s="1"/>
        <i x="429" s="1"/>
        <i x="902" s="1"/>
        <i x="31" s="1"/>
        <i x="841" s="1"/>
        <i x="291" s="1"/>
        <i x="821" s="1"/>
        <i x="699" s="1"/>
        <i x="876" s="1"/>
        <i x="690" s="1"/>
        <i x="670" s="1"/>
        <i x="35" s="1"/>
        <i x="702" s="1"/>
        <i x="532" s="1"/>
        <i x="368" s="1"/>
        <i x="87" s="1"/>
        <i x="206" s="1"/>
        <i x="649" s="1"/>
        <i x="906" s="1"/>
        <i x="721" s="1"/>
        <i x="364" s="1"/>
        <i x="440" s="1"/>
        <i x="843" s="1"/>
        <i x="262" s="1"/>
        <i x="192" s="1"/>
        <i x="572" s="1"/>
        <i x="558" s="1"/>
        <i x="617" s="1"/>
        <i x="621" s="1"/>
        <i x="907" s="1"/>
        <i x="2" s="1"/>
        <i x="51" s="1"/>
        <i x="804" s="1"/>
        <i x="879" s="1"/>
        <i x="444" s="1"/>
        <i x="281" s="1"/>
        <i x="878" s="1"/>
        <i x="191" s="1"/>
        <i x="53" s="1"/>
        <i x="357" s="1"/>
        <i x="50" s="1"/>
        <i x="467" s="1"/>
        <i x="782" s="1"/>
        <i x="913" s="1"/>
        <i x="423" s="1"/>
        <i x="687" s="1"/>
        <i x="892" s="1"/>
        <i x="822" s="1"/>
        <i x="399" s="1"/>
        <i x="590" s="1"/>
        <i x="548" s="1"/>
        <i x="912" s="1"/>
        <i x="647" s="1"/>
        <i x="724" s="1"/>
        <i x="227" s="1"/>
        <i x="214" s="1"/>
        <i x="153" s="1"/>
        <i x="717" s="1"/>
        <i x="461" s="1"/>
        <i x="665" s="1"/>
        <i x="452" s="1"/>
        <i x="591" s="1"/>
        <i x="679" s="1"/>
        <i x="873" s="1"/>
        <i x="520" s="1"/>
        <i x="195" s="1"/>
        <i x="663" s="1"/>
        <i x="711" s="1"/>
        <i x="653" s="1"/>
        <i x="272" s="1"/>
        <i x="125" s="1"/>
        <i x="725" s="1"/>
        <i x="334" s="1"/>
        <i x="610" s="1"/>
        <i x="626" s="1"/>
        <i x="13" s="1"/>
        <i x="669" s="1"/>
        <i x="265" s="1"/>
        <i x="522" s="1"/>
        <i x="473" s="1"/>
        <i x="75" s="1"/>
        <i x="523" s="1"/>
        <i x="240" s="1"/>
        <i x="99" s="1"/>
        <i x="780" s="1"/>
        <i x="476" s="1"/>
        <i x="866" s="1"/>
        <i x="126" s="1"/>
        <i x="90" s="1"/>
        <i x="753" s="1"/>
        <i x="29" s="1"/>
        <i x="847" s="1"/>
        <i x="798" s="1"/>
        <i x="89" s="1"/>
        <i x="852" s="1"/>
        <i x="904" s="1"/>
        <i x="757" s="1"/>
        <i x="488" s="1"/>
        <i x="864" s="1"/>
        <i x="142" s="1"/>
        <i x="41" s="1"/>
        <i x="237" s="1"/>
        <i x="456" s="1"/>
        <i x="882" s="1"/>
        <i x="353" s="1"/>
        <i x="817" s="1"/>
        <i x="815" s="1"/>
        <i x="279" s="1"/>
        <i x="294" s="1"/>
        <i x="640" s="1"/>
        <i x="292" s="1"/>
        <i x="303" s="1"/>
        <i x="329" s="1"/>
        <i x="58" s="1"/>
        <i x="37" s="1"/>
        <i x="417" s="1"/>
        <i x="538" s="1"/>
        <i x="388" s="1"/>
        <i x="17" s="1"/>
        <i x="119" s="1"/>
        <i x="784" s="1"/>
        <i x="5" s="1"/>
        <i x="156" s="1"/>
        <i x="299" s="1"/>
        <i x="686" s="1"/>
        <i x="765" s="1"/>
        <i x="323" s="1"/>
        <i x="102" s="1"/>
        <i x="656" s="1"/>
        <i x="183" s="1"/>
        <i x="658" s="1"/>
        <i x="114" s="1"/>
        <i x="824" s="1"/>
        <i x="68" s="1"/>
        <i x="454" s="1"/>
        <i x="18" s="1"/>
        <i x="570" s="1"/>
        <i x="886" s="1"/>
        <i x="719" s="1"/>
        <i x="175" s="1"/>
        <i x="209" s="1"/>
        <i x="313" s="1"/>
        <i x="673" s="1"/>
        <i x="911" s="1"/>
        <i x="807" s="1"/>
        <i x="643" s="1"/>
        <i x="65" s="1"/>
        <i x="908" s="1"/>
        <i x="88" s="1"/>
        <i x="772" s="1"/>
        <i x="517" s="1"/>
        <i x="450" s="1"/>
        <i x="158" s="1"/>
        <i x="140" s="1"/>
        <i x="151" s="1"/>
        <i x="646" s="1"/>
        <i x="826" s="1"/>
        <i x="884" s="1"/>
        <i x="831" s="1"/>
        <i x="48" s="1"/>
        <i x="343" s="1"/>
        <i x="858" s="1"/>
        <i x="347" s="1"/>
        <i x="676" s="1"/>
        <i x="641" s="1"/>
        <i x="515" s="1"/>
        <i x="327" s="1"/>
        <i x="115" s="1"/>
        <i x="230" s="1"/>
        <i x="161" s="1"/>
        <i x="479" s="1"/>
        <i x="698" s="1"/>
        <i x="141" s="1"/>
        <i x="213" s="1"/>
        <i x="25" s="1"/>
        <i x="443" s="1"/>
        <i x="677" s="1"/>
        <i x="70" s="1"/>
        <i x="603" s="1"/>
        <i x="561" s="1"/>
        <i x="225" s="1"/>
        <i x="117" s="1"/>
        <i x="375" s="1"/>
        <i x="331" s="1"/>
        <i x="657" s="1"/>
        <i x="348" s="1"/>
        <i x="671" s="1"/>
        <i x="376" s="1"/>
        <i x="726" s="1"/>
        <i x="321" s="1"/>
        <i x="571" s="1"/>
        <i x="338" s="1"/>
        <i x="820" s="1"/>
        <i x="750" s="1"/>
        <i x="644" s="1"/>
        <i x="78" s="1"/>
        <i x="707" s="1"/>
        <i x="586" s="1"/>
        <i x="98" s="1"/>
        <i x="598" s="1"/>
        <i x="332" s="1"/>
        <i x="845" s="1"/>
        <i x="30" s="1"/>
        <i x="47" s="1"/>
        <i x="528" s="1"/>
        <i x="189" s="1"/>
        <i x="607" s="1"/>
        <i x="568" s="1"/>
        <i x="159" s="1"/>
        <i x="320" s="1"/>
        <i x="104" s="1"/>
        <i x="333" s="1"/>
        <i x="814" s="1"/>
        <i x="652" s="1"/>
        <i x="703" s="1"/>
        <i x="655" s="1"/>
        <i x="693" s="1"/>
        <i x="759" s="1"/>
        <i x="880" s="1"/>
        <i x="545" s="1"/>
        <i x="764" s="1"/>
        <i x="305" s="1"/>
        <i x="415" s="1"/>
        <i x="437" s="1"/>
        <i x="243" s="1"/>
        <i x="618" s="1"/>
        <i x="465" s="1"/>
        <i x="496" s="1"/>
        <i x="536" s="1"/>
        <i x="220" s="1"/>
        <i x="232" s="1"/>
        <i x="420" s="1"/>
        <i x="664" s="1"/>
        <i x="507" s="1"/>
        <i x="870" s="1"/>
        <i x="800" s="1"/>
        <i x="560" s="1"/>
        <i x="524" s="1"/>
        <i x="794" s="1"/>
        <i x="857" s="1"/>
        <i x="34" s="1"/>
        <i x="171" s="1"/>
        <i x="552" s="1"/>
        <i x="816" s="1"/>
        <i x="567" s="1"/>
        <i x="741" s="1"/>
        <i x="74" s="1"/>
        <i x="855" s="1"/>
        <i x="253" s="1"/>
        <i x="392" s="1"/>
        <i x="730" s="1"/>
        <i x="779" s="1"/>
        <i x="241" s="1"/>
        <i x="411" s="1"/>
        <i x="802" s="1"/>
        <i x="38" s="1"/>
        <i x="212" s="1"/>
        <i x="650" s="1"/>
        <i x="840" s="1"/>
        <i x="410" s="1"/>
        <i x="390" s="1"/>
        <i x="592" s="1"/>
        <i x="542" s="1"/>
        <i x="895" s="1"/>
        <i x="179" s="1"/>
        <i x="554" s="1"/>
        <i x="624" s="1"/>
        <i x="193" s="1"/>
        <i x="578" s="1"/>
        <i x="201" s="1"/>
        <i x="837" s="1"/>
        <i x="766" s="1"/>
        <i x="836" s="1"/>
        <i x="493" s="1"/>
        <i x="588" s="1"/>
        <i x="144" s="1"/>
        <i x="363" s="1"/>
        <i x="109" s="1"/>
        <i x="659" s="1"/>
        <i x="269" s="1"/>
        <i x="130" s="1"/>
        <i x="602" s="1"/>
        <i x="584" s="1"/>
        <i x="32" s="1"/>
        <i x="92" s="1"/>
        <i x="483" s="1"/>
        <i x="9" s="1"/>
        <i x="273" s="1"/>
        <i x="513" s="1"/>
        <i x="166" s="1"/>
        <i x="529" s="1"/>
        <i x="569" s="1"/>
        <i x="464" s="1"/>
        <i x="539" s="1"/>
        <i x="326" s="1"/>
        <i x="667" s="1"/>
        <i x="288" s="1"/>
        <i x="451" s="1"/>
        <i x="468" s="1"/>
        <i x="447" s="1"/>
        <i x="460" s="1"/>
        <i x="419" s="1"/>
        <i x="16" s="1"/>
        <i x="811" s="1"/>
        <i x="918" s="1"/>
        <i x="553" s="1"/>
        <i x="427" s="1"/>
        <i x="143" s="1"/>
        <i x="582" s="1"/>
        <i x="28" s="1"/>
        <i x="66" s="1"/>
        <i x="385" s="1"/>
        <i x="337" s="1"/>
        <i x="770" s="1"/>
        <i x="651" s="1"/>
        <i x="263" s="1"/>
        <i x="708" s="1"/>
        <i x="527" s="1"/>
        <i x="874" s="1"/>
        <i x="236" s="1"/>
        <i x="898" s="1"/>
        <i x="211" s="1"/>
        <i x="372" s="1"/>
        <i x="311" s="1"/>
        <i x="91" s="1"/>
        <i x="242" s="1"/>
        <i x="233" s="1"/>
        <i x="26" s="1"/>
        <i x="40" s="1"/>
        <i x="438" s="1"/>
        <i x="722" s="1"/>
        <i x="900" s="1"/>
        <i x="204" s="1"/>
        <i x="255" s="1"/>
        <i x="502" s="1"/>
        <i x="83" s="1"/>
        <i x="163" s="1"/>
        <i x="208" s="1"/>
        <i x="285" s="1"/>
        <i x="609" s="1"/>
        <i x="139" s="1"/>
        <i x="745" s="1"/>
        <i x="775" s="1"/>
        <i x="605" s="1"/>
        <i x="546" s="1"/>
        <i x="436" s="1"/>
        <i x="42" s="1"/>
        <i x="511" s="1"/>
        <i x="100" s="1"/>
        <i x="446" s="1"/>
        <i x="147" s="1"/>
        <i x="380" s="1"/>
        <i x="899" s="1"/>
        <i x="69" s="1"/>
        <i x="389" s="1"/>
        <i x="149" s="1"/>
        <i x="223" s="1"/>
        <i x="256" s="1"/>
        <i x="491" s="1"/>
        <i x="268" s="1"/>
        <i x="278" s="1"/>
        <i x="734" s="1"/>
        <i x="298" s="1"/>
        <i x="537" s="1"/>
        <i x="729" s="1"/>
        <i x="207" s="1"/>
        <i x="477" s="1"/>
        <i x="463" s="1"/>
        <i x="486" s="1"/>
        <i x="851" s="1"/>
        <i x="217" s="1"/>
        <i x="700" s="1"/>
        <i x="559" s="1"/>
        <i x="430" s="1"/>
        <i x="445" s="1"/>
        <i x="335" s="1"/>
        <i x="634" s="1"/>
        <i x="248" s="1"/>
        <i x="731" s="1"/>
        <i x="897" s="1"/>
        <i x="394" s="1"/>
        <i x="245" s="1"/>
        <i x="54" s="1"/>
        <i x="896" s="1"/>
        <i x="905" s="1"/>
        <i x="914" s="1"/>
        <i x="756" s="1"/>
        <i x="224" s="1"/>
        <i x="501" s="1"/>
        <i x="480" s="1"/>
        <i x="120" s="1"/>
        <i x="534" s="1"/>
        <i x="424" s="1"/>
        <i x="746" s="1"/>
        <i x="190" s="1"/>
        <i x="604" s="1"/>
        <i x="129" s="1"/>
        <i x="449" s="1"/>
        <i x="169" s="1"/>
        <i x="160" s="1"/>
        <i x="257" s="1"/>
        <i x="675" s="1"/>
        <i x="9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0B423E7-62EA-4CBD-99A5-4FEBD3A9D0FF}" sourceName="Month">
  <pivotTables>
    <pivotTable tabId="2" name="PivotTable2"/>
    <pivotTable tabId="2" name="PivotTable15"/>
    <pivotTable tabId="2" name="PivotTable16"/>
    <pivotTable tabId="2" name="PivotTable17"/>
    <pivotTable tabId="2" name="PivotTable18"/>
    <pivotTable tabId="2" name="PivotTable3"/>
    <pivotTable tabId="2" name="PivotTable4"/>
    <pivotTable tabId="2" name="PivotTable5"/>
    <pivotTable tabId="2" name="PivotTable8"/>
  </pivotTables>
  <data>
    <tabular pivotCacheId="1680105748">
      <items count="12">
        <i x="7" s="1"/>
        <i x="11" s="1"/>
        <i x="0" s="1"/>
        <i x="9" s="1"/>
        <i x="3" s="1"/>
        <i x="6" s="1"/>
        <i x="2" s="1"/>
        <i x="1" s="1"/>
        <i x="10" s="1"/>
        <i x="4" s="1"/>
        <i x="8"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1" xr10:uid="{786F8104-6FCD-4689-BD2B-CA42C8077223}" cache="Slicer_Branch" caption="Branch" style="Slicer Style 2" rowHeight="241300"/>
  <slicer name="Date 1" xr10:uid="{430D0FFB-BB99-48A8-A8CF-5B44CBCF119A}" cache="Slicer_Date" caption="Date" style="Slicer Style 2" rowHeight="241300"/>
  <slicer name="Month" xr10:uid="{19864856-2989-40EC-A260-290CAC92DBE8}" cache="Slicer_Month" caption="Month" style="Slicer Style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64C31E-4BA1-4C7A-8E54-E5788C21B994}" name="Table1" displayName="Table1" ref="A1:K1502" totalsRowCount="1" headerRowDxfId="43" headerRowBorderDxfId="42" tableBorderDxfId="41">
  <autoFilter ref="A1:K1501" xr:uid="{FA64C31E-4BA1-4C7A-8E54-E5788C21B994}"/>
  <tableColumns count="11">
    <tableColumn id="1" xr3:uid="{189017B3-54A8-43A1-8F24-E8B97DEA4B09}" name="Date"/>
    <tableColumn id="2" xr3:uid="{DBF10007-8B82-4C7E-8622-3A8421F4E186}" name="Branch"/>
    <tableColumn id="3" xr3:uid="{7470EB13-0217-4A13-A0CB-AB25A811595E}" name="Sales" dataDxfId="40" totalsRowDxfId="39" dataCellStyle="Comma"/>
    <tableColumn id="4" xr3:uid="{67739649-D72D-4A7B-AFDE-4480FF9172E1}" name="Profit" dataDxfId="38" dataCellStyle="Comma"/>
    <tableColumn id="5" xr3:uid="{760AC421-8C4E-4515-A6C1-A204738BE503}" name="Target Sales" dataDxfId="37" dataCellStyle="Comma"/>
    <tableColumn id="6" xr3:uid="{E2AEBBDF-FC50-475E-A900-A0AF44B083AC}" name="Cost"/>
    <tableColumn id="7" xr3:uid="{05298DC9-BB39-4308-9D07-2C259B57434A}" name="Expenses"/>
    <tableColumn id="8" xr3:uid="{3D07C341-41B4-4701-8F98-8235B7DD8ACC}" name="Customer Count"/>
    <tableColumn id="9" xr3:uid="{5D008816-E3FA-411D-81CA-F267DE38BBEF}" name="Customer Satisfaction"/>
    <tableColumn id="10" xr3:uid="{CCDE672F-9798-481E-93AE-BBD6FF40F4B7}" name="Score"/>
    <tableColumn id="11" xr3:uid="{CCD9C1F9-D230-48CB-9188-DF9A4E16C1F0}" name="Month"/>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502"/>
  <sheetViews>
    <sheetView topLeftCell="A6" workbookViewId="0">
      <selection activeCell="L13" sqref="L13"/>
    </sheetView>
  </sheetViews>
  <sheetFormatPr defaultRowHeight="15" x14ac:dyDescent="0.25"/>
  <cols>
    <col min="1" max="1" width="13.85546875" customWidth="1"/>
    <col min="2" max="2" width="11" customWidth="1"/>
    <col min="3" max="3" width="12.140625" customWidth="1"/>
    <col min="4" max="4" width="10.7109375" customWidth="1"/>
    <col min="5" max="5" width="13.7109375" customWidth="1"/>
    <col min="6" max="6" width="10.85546875" customWidth="1"/>
    <col min="7" max="7" width="16.140625" customWidth="1"/>
    <col min="8" max="8" width="17.42578125" customWidth="1"/>
    <col min="9" max="9" width="24.42578125" customWidth="1"/>
    <col min="10" max="10" width="9.7109375" customWidth="1"/>
    <col min="11" max="11" width="18.140625" customWidth="1"/>
    <col min="12" max="12" width="14.140625" customWidth="1"/>
  </cols>
  <sheetData>
    <row r="1" spans="1:11" x14ac:dyDescent="0.25">
      <c r="A1" s="1" t="s">
        <v>0</v>
      </c>
      <c r="B1" s="1" t="s">
        <v>1</v>
      </c>
      <c r="C1" s="2" t="s">
        <v>2</v>
      </c>
      <c r="D1" s="2" t="s">
        <v>3</v>
      </c>
      <c r="E1" s="2" t="s">
        <v>4</v>
      </c>
      <c r="F1" s="1" t="s">
        <v>5</v>
      </c>
      <c r="G1" s="1" t="s">
        <v>6</v>
      </c>
      <c r="H1" s="1" t="s">
        <v>7</v>
      </c>
      <c r="I1" s="1" t="s">
        <v>8</v>
      </c>
      <c r="J1" s="1" t="s">
        <v>9</v>
      </c>
      <c r="K1" s="1" t="s">
        <v>971</v>
      </c>
    </row>
    <row r="2" spans="1:11" x14ac:dyDescent="0.25">
      <c r="A2" t="s">
        <v>10</v>
      </c>
      <c r="B2" t="s">
        <v>934</v>
      </c>
      <c r="C2" s="3">
        <v>10181</v>
      </c>
      <c r="D2" s="3">
        <v>8208</v>
      </c>
      <c r="E2" s="3">
        <v>9526</v>
      </c>
      <c r="F2">
        <v>1608</v>
      </c>
      <c r="G2">
        <v>365</v>
      </c>
      <c r="H2">
        <v>56</v>
      </c>
      <c r="I2" t="s">
        <v>938</v>
      </c>
      <c r="J2">
        <v>10</v>
      </c>
      <c r="K2" t="s">
        <v>943</v>
      </c>
    </row>
    <row r="3" spans="1:11" x14ac:dyDescent="0.25">
      <c r="A3" t="s">
        <v>11</v>
      </c>
      <c r="B3" t="s">
        <v>935</v>
      </c>
      <c r="C3" s="3">
        <v>9118</v>
      </c>
      <c r="D3" s="3">
        <v>3498</v>
      </c>
      <c r="E3" s="3">
        <v>8954</v>
      </c>
      <c r="F3">
        <v>4704</v>
      </c>
      <c r="G3">
        <v>916</v>
      </c>
      <c r="H3">
        <v>53</v>
      </c>
      <c r="I3" t="s">
        <v>938</v>
      </c>
      <c r="J3">
        <v>7</v>
      </c>
      <c r="K3" t="s">
        <v>944</v>
      </c>
    </row>
    <row r="4" spans="1:11" x14ac:dyDescent="0.25">
      <c r="A4" t="s">
        <v>12</v>
      </c>
      <c r="B4" t="s">
        <v>936</v>
      </c>
      <c r="C4" s="3">
        <v>5055</v>
      </c>
      <c r="D4" s="3">
        <v>-137</v>
      </c>
      <c r="E4" s="3">
        <v>7415</v>
      </c>
      <c r="F4">
        <v>3565</v>
      </c>
      <c r="G4">
        <v>1627</v>
      </c>
      <c r="H4">
        <v>70</v>
      </c>
      <c r="I4" t="s">
        <v>939</v>
      </c>
      <c r="J4">
        <v>5</v>
      </c>
      <c r="K4" t="s">
        <v>944</v>
      </c>
    </row>
    <row r="5" spans="1:11" x14ac:dyDescent="0.25">
      <c r="A5" t="s">
        <v>13</v>
      </c>
      <c r="B5" t="s">
        <v>934</v>
      </c>
      <c r="C5" s="3">
        <v>7025</v>
      </c>
      <c r="D5" s="3">
        <v>3605</v>
      </c>
      <c r="E5" s="3">
        <v>7316</v>
      </c>
      <c r="F5">
        <v>1767</v>
      </c>
      <c r="G5">
        <v>1653</v>
      </c>
      <c r="H5">
        <v>31</v>
      </c>
      <c r="I5" t="s">
        <v>940</v>
      </c>
      <c r="J5">
        <v>8</v>
      </c>
      <c r="K5" t="s">
        <v>945</v>
      </c>
    </row>
    <row r="6" spans="1:11" x14ac:dyDescent="0.25">
      <c r="A6" t="s">
        <v>14</v>
      </c>
      <c r="B6" t="s">
        <v>934</v>
      </c>
      <c r="C6" s="3">
        <v>9813</v>
      </c>
      <c r="D6" s="3">
        <v>7277</v>
      </c>
      <c r="E6" s="3">
        <v>9827</v>
      </c>
      <c r="F6">
        <v>2116</v>
      </c>
      <c r="G6">
        <v>420</v>
      </c>
      <c r="H6">
        <v>113</v>
      </c>
      <c r="I6" t="s">
        <v>941</v>
      </c>
      <c r="J6">
        <v>8</v>
      </c>
      <c r="K6" t="s">
        <v>946</v>
      </c>
    </row>
    <row r="7" spans="1:11" x14ac:dyDescent="0.25">
      <c r="A7" t="s">
        <v>15</v>
      </c>
      <c r="B7" t="s">
        <v>936</v>
      </c>
      <c r="C7" s="3">
        <v>10395</v>
      </c>
      <c r="D7" s="3">
        <v>6050</v>
      </c>
      <c r="E7" s="3">
        <v>8002</v>
      </c>
      <c r="F7">
        <v>2838</v>
      </c>
      <c r="G7">
        <v>1507</v>
      </c>
      <c r="H7">
        <v>119</v>
      </c>
      <c r="I7" t="s">
        <v>941</v>
      </c>
      <c r="J7">
        <v>4</v>
      </c>
      <c r="K7" t="s">
        <v>947</v>
      </c>
    </row>
    <row r="8" spans="1:11" x14ac:dyDescent="0.25">
      <c r="A8" t="s">
        <v>16</v>
      </c>
      <c r="B8" t="s">
        <v>936</v>
      </c>
      <c r="C8" s="3">
        <v>11866</v>
      </c>
      <c r="D8" s="3">
        <v>7521</v>
      </c>
      <c r="E8" s="3">
        <v>4938</v>
      </c>
      <c r="F8">
        <v>2868</v>
      </c>
      <c r="G8">
        <v>1477</v>
      </c>
      <c r="H8">
        <v>56</v>
      </c>
      <c r="I8" t="s">
        <v>942</v>
      </c>
      <c r="J8">
        <v>5</v>
      </c>
      <c r="K8" t="s">
        <v>948</v>
      </c>
    </row>
    <row r="9" spans="1:11" x14ac:dyDescent="0.25">
      <c r="A9" t="s">
        <v>17</v>
      </c>
      <c r="B9" t="s">
        <v>936</v>
      </c>
      <c r="C9" s="3">
        <v>9518</v>
      </c>
      <c r="D9" s="3">
        <v>7048</v>
      </c>
      <c r="E9" s="3">
        <v>4136</v>
      </c>
      <c r="F9">
        <v>1150</v>
      </c>
      <c r="G9">
        <v>1320</v>
      </c>
      <c r="H9">
        <v>112</v>
      </c>
      <c r="I9" t="s">
        <v>939</v>
      </c>
      <c r="J9">
        <v>8</v>
      </c>
      <c r="K9" t="s">
        <v>949</v>
      </c>
    </row>
    <row r="10" spans="1:11" x14ac:dyDescent="0.25">
      <c r="A10" t="s">
        <v>18</v>
      </c>
      <c r="B10" t="s">
        <v>936</v>
      </c>
      <c r="C10" s="3">
        <v>7552</v>
      </c>
      <c r="D10" s="3">
        <v>1044</v>
      </c>
      <c r="E10" s="3">
        <v>7687</v>
      </c>
      <c r="F10">
        <v>4605</v>
      </c>
      <c r="G10">
        <v>1903</v>
      </c>
      <c r="H10">
        <v>115</v>
      </c>
      <c r="I10" t="s">
        <v>942</v>
      </c>
      <c r="J10">
        <v>4</v>
      </c>
      <c r="K10" t="s">
        <v>950</v>
      </c>
    </row>
    <row r="11" spans="1:11" x14ac:dyDescent="0.25">
      <c r="A11" t="s">
        <v>19</v>
      </c>
      <c r="B11" t="s">
        <v>936</v>
      </c>
      <c r="C11" s="3">
        <v>6037</v>
      </c>
      <c r="D11" s="3">
        <v>2198</v>
      </c>
      <c r="E11" s="3">
        <v>7027</v>
      </c>
      <c r="F11">
        <v>3639</v>
      </c>
      <c r="G11">
        <v>200</v>
      </c>
      <c r="H11">
        <v>118</v>
      </c>
      <c r="I11" t="s">
        <v>941</v>
      </c>
      <c r="J11">
        <v>8</v>
      </c>
      <c r="K11" t="s">
        <v>944</v>
      </c>
    </row>
    <row r="12" spans="1:11" x14ac:dyDescent="0.25">
      <c r="A12" t="s">
        <v>20</v>
      </c>
      <c r="B12" t="s">
        <v>936</v>
      </c>
      <c r="C12" s="3">
        <v>5899</v>
      </c>
      <c r="D12" s="3">
        <v>682</v>
      </c>
      <c r="E12" s="3">
        <v>9149</v>
      </c>
      <c r="F12">
        <v>4310</v>
      </c>
      <c r="G12">
        <v>907</v>
      </c>
      <c r="H12">
        <v>51</v>
      </c>
      <c r="I12" t="s">
        <v>942</v>
      </c>
      <c r="J12">
        <v>9</v>
      </c>
      <c r="K12" t="s">
        <v>950</v>
      </c>
    </row>
    <row r="13" spans="1:11" x14ac:dyDescent="0.25">
      <c r="A13" t="s">
        <v>21</v>
      </c>
      <c r="B13" t="s">
        <v>937</v>
      </c>
      <c r="C13" s="3">
        <v>11344</v>
      </c>
      <c r="D13" s="3">
        <v>6223</v>
      </c>
      <c r="E13" s="3">
        <v>7013</v>
      </c>
      <c r="F13">
        <v>4186</v>
      </c>
      <c r="G13">
        <v>935</v>
      </c>
      <c r="H13">
        <v>81</v>
      </c>
      <c r="I13" t="s">
        <v>940</v>
      </c>
      <c r="J13">
        <v>5</v>
      </c>
      <c r="K13" t="s">
        <v>951</v>
      </c>
    </row>
    <row r="14" spans="1:11" x14ac:dyDescent="0.25">
      <c r="A14" t="s">
        <v>22</v>
      </c>
      <c r="B14" t="s">
        <v>935</v>
      </c>
      <c r="C14" s="3">
        <v>4110</v>
      </c>
      <c r="D14" s="3">
        <v>1007</v>
      </c>
      <c r="E14" s="3">
        <v>4228</v>
      </c>
      <c r="F14">
        <v>2048</v>
      </c>
      <c r="G14">
        <v>1055</v>
      </c>
      <c r="H14">
        <v>93</v>
      </c>
      <c r="I14" t="s">
        <v>938</v>
      </c>
      <c r="J14">
        <v>4</v>
      </c>
      <c r="K14" t="s">
        <v>943</v>
      </c>
    </row>
    <row r="15" spans="1:11" x14ac:dyDescent="0.25">
      <c r="A15" t="s">
        <v>23</v>
      </c>
      <c r="B15" t="s">
        <v>934</v>
      </c>
      <c r="C15" s="3">
        <v>2497</v>
      </c>
      <c r="D15" s="3">
        <v>-940</v>
      </c>
      <c r="E15" s="3">
        <v>5652</v>
      </c>
      <c r="F15">
        <v>2784</v>
      </c>
      <c r="G15">
        <v>653</v>
      </c>
      <c r="H15">
        <v>64</v>
      </c>
      <c r="I15" t="s">
        <v>941</v>
      </c>
      <c r="J15">
        <v>9</v>
      </c>
      <c r="K15" t="s">
        <v>950</v>
      </c>
    </row>
    <row r="16" spans="1:11" x14ac:dyDescent="0.25">
      <c r="A16" t="s">
        <v>24</v>
      </c>
      <c r="B16" t="s">
        <v>937</v>
      </c>
      <c r="C16" s="3">
        <v>4994</v>
      </c>
      <c r="D16" s="3">
        <v>1887</v>
      </c>
      <c r="E16" s="3">
        <v>9598</v>
      </c>
      <c r="F16">
        <v>2378</v>
      </c>
      <c r="G16">
        <v>729</v>
      </c>
      <c r="H16">
        <v>93</v>
      </c>
      <c r="I16" t="s">
        <v>940</v>
      </c>
      <c r="J16">
        <v>3</v>
      </c>
      <c r="K16" t="s">
        <v>952</v>
      </c>
    </row>
    <row r="17" spans="1:11" x14ac:dyDescent="0.25">
      <c r="A17" t="s">
        <v>25</v>
      </c>
      <c r="B17" t="s">
        <v>937</v>
      </c>
      <c r="C17" s="3">
        <v>7828</v>
      </c>
      <c r="D17" s="3">
        <v>2805</v>
      </c>
      <c r="E17" s="3">
        <v>7523</v>
      </c>
      <c r="F17">
        <v>3111</v>
      </c>
      <c r="G17">
        <v>1912</v>
      </c>
      <c r="H17">
        <v>23</v>
      </c>
      <c r="I17" t="s">
        <v>942</v>
      </c>
      <c r="J17">
        <v>3</v>
      </c>
      <c r="K17" t="s">
        <v>950</v>
      </c>
    </row>
    <row r="18" spans="1:11" x14ac:dyDescent="0.25">
      <c r="A18" t="s">
        <v>26</v>
      </c>
      <c r="B18" t="s">
        <v>934</v>
      </c>
      <c r="C18" s="3">
        <v>11222</v>
      </c>
      <c r="D18" s="3">
        <v>7133</v>
      </c>
      <c r="E18" s="3">
        <v>4504</v>
      </c>
      <c r="F18">
        <v>3359</v>
      </c>
      <c r="G18">
        <v>730</v>
      </c>
      <c r="H18">
        <v>71</v>
      </c>
      <c r="I18" t="s">
        <v>940</v>
      </c>
      <c r="J18">
        <v>7</v>
      </c>
      <c r="K18" t="s">
        <v>950</v>
      </c>
    </row>
    <row r="19" spans="1:11" x14ac:dyDescent="0.25">
      <c r="A19" t="s">
        <v>27</v>
      </c>
      <c r="B19" t="s">
        <v>934</v>
      </c>
      <c r="C19" s="3">
        <v>4113</v>
      </c>
      <c r="D19" s="3">
        <v>1516</v>
      </c>
      <c r="E19" s="3">
        <v>8914</v>
      </c>
      <c r="F19">
        <v>2270</v>
      </c>
      <c r="G19">
        <v>327</v>
      </c>
      <c r="H19">
        <v>106</v>
      </c>
      <c r="I19" t="s">
        <v>942</v>
      </c>
      <c r="J19">
        <v>6</v>
      </c>
      <c r="K19" t="s">
        <v>953</v>
      </c>
    </row>
    <row r="20" spans="1:11" x14ac:dyDescent="0.25">
      <c r="A20" t="s">
        <v>28</v>
      </c>
      <c r="B20" t="s">
        <v>937</v>
      </c>
      <c r="C20" s="3">
        <v>9451</v>
      </c>
      <c r="D20" s="3">
        <v>6810</v>
      </c>
      <c r="E20" s="3">
        <v>6412</v>
      </c>
      <c r="F20">
        <v>1707</v>
      </c>
      <c r="G20">
        <v>934</v>
      </c>
      <c r="H20">
        <v>109</v>
      </c>
      <c r="I20" t="s">
        <v>939</v>
      </c>
      <c r="J20">
        <v>2</v>
      </c>
      <c r="K20" t="s">
        <v>954</v>
      </c>
    </row>
    <row r="21" spans="1:11" x14ac:dyDescent="0.25">
      <c r="A21" t="s">
        <v>29</v>
      </c>
      <c r="B21" t="s">
        <v>936</v>
      </c>
      <c r="C21" s="3">
        <v>6101</v>
      </c>
      <c r="D21" s="3">
        <v>231</v>
      </c>
      <c r="E21" s="3">
        <v>9357</v>
      </c>
      <c r="F21">
        <v>4664</v>
      </c>
      <c r="G21">
        <v>1206</v>
      </c>
      <c r="H21">
        <v>58</v>
      </c>
      <c r="I21" t="s">
        <v>939</v>
      </c>
      <c r="J21">
        <v>5</v>
      </c>
      <c r="K21" t="s">
        <v>945</v>
      </c>
    </row>
    <row r="22" spans="1:11" x14ac:dyDescent="0.25">
      <c r="A22" t="s">
        <v>30</v>
      </c>
      <c r="B22" t="s">
        <v>934</v>
      </c>
      <c r="C22" s="3">
        <v>10999</v>
      </c>
      <c r="D22" s="3">
        <v>5504</v>
      </c>
      <c r="E22" s="3">
        <v>6440</v>
      </c>
      <c r="F22">
        <v>4499</v>
      </c>
      <c r="G22">
        <v>996</v>
      </c>
      <c r="H22">
        <v>107</v>
      </c>
      <c r="I22" t="s">
        <v>938</v>
      </c>
      <c r="J22">
        <v>10</v>
      </c>
      <c r="K22" t="s">
        <v>947</v>
      </c>
    </row>
    <row r="23" spans="1:11" x14ac:dyDescent="0.25">
      <c r="A23" t="s">
        <v>31</v>
      </c>
      <c r="B23" t="s">
        <v>934</v>
      </c>
      <c r="C23" s="3">
        <v>7032</v>
      </c>
      <c r="D23" s="3">
        <v>4575</v>
      </c>
      <c r="E23" s="3">
        <v>8564</v>
      </c>
      <c r="F23">
        <v>1777</v>
      </c>
      <c r="G23">
        <v>680</v>
      </c>
      <c r="H23">
        <v>81</v>
      </c>
      <c r="I23" t="s">
        <v>938</v>
      </c>
      <c r="J23">
        <v>6</v>
      </c>
      <c r="K23" t="s">
        <v>946</v>
      </c>
    </row>
    <row r="24" spans="1:11" x14ac:dyDescent="0.25">
      <c r="A24" t="s">
        <v>32</v>
      </c>
      <c r="B24" t="s">
        <v>935</v>
      </c>
      <c r="C24" s="3">
        <v>9270</v>
      </c>
      <c r="D24" s="3">
        <v>4359</v>
      </c>
      <c r="E24" s="3">
        <v>6885</v>
      </c>
      <c r="F24">
        <v>3847</v>
      </c>
      <c r="G24">
        <v>1064</v>
      </c>
      <c r="H24">
        <v>57</v>
      </c>
      <c r="I24" t="s">
        <v>941</v>
      </c>
      <c r="J24">
        <v>10</v>
      </c>
      <c r="K24" t="s">
        <v>948</v>
      </c>
    </row>
    <row r="25" spans="1:11" x14ac:dyDescent="0.25">
      <c r="A25" t="s">
        <v>33</v>
      </c>
      <c r="B25" t="s">
        <v>936</v>
      </c>
      <c r="C25" s="3">
        <v>4528</v>
      </c>
      <c r="D25" s="3">
        <v>1889</v>
      </c>
      <c r="E25" s="3">
        <v>6326</v>
      </c>
      <c r="F25">
        <v>1923</v>
      </c>
      <c r="G25">
        <v>716</v>
      </c>
      <c r="H25">
        <v>34</v>
      </c>
      <c r="I25" t="s">
        <v>942</v>
      </c>
      <c r="J25">
        <v>6</v>
      </c>
      <c r="K25" t="s">
        <v>954</v>
      </c>
    </row>
    <row r="26" spans="1:11" x14ac:dyDescent="0.25">
      <c r="A26" t="s">
        <v>34</v>
      </c>
      <c r="B26" t="s">
        <v>936</v>
      </c>
      <c r="C26" s="3">
        <v>6533</v>
      </c>
      <c r="D26" s="3">
        <v>2585</v>
      </c>
      <c r="E26" s="3">
        <v>9205</v>
      </c>
      <c r="F26">
        <v>3301</v>
      </c>
      <c r="G26">
        <v>647</v>
      </c>
      <c r="H26">
        <v>66</v>
      </c>
      <c r="I26" t="s">
        <v>942</v>
      </c>
      <c r="J26">
        <v>10</v>
      </c>
      <c r="K26" t="s">
        <v>947</v>
      </c>
    </row>
    <row r="27" spans="1:11" x14ac:dyDescent="0.25">
      <c r="A27" t="s">
        <v>35</v>
      </c>
      <c r="B27" t="s">
        <v>936</v>
      </c>
      <c r="C27" s="3">
        <v>6619</v>
      </c>
      <c r="D27" s="3">
        <v>4075</v>
      </c>
      <c r="E27" s="3">
        <v>8831</v>
      </c>
      <c r="F27">
        <v>1447</v>
      </c>
      <c r="G27">
        <v>1097</v>
      </c>
      <c r="H27">
        <v>31</v>
      </c>
      <c r="I27" t="s">
        <v>940</v>
      </c>
      <c r="J27">
        <v>9</v>
      </c>
      <c r="K27" t="s">
        <v>952</v>
      </c>
    </row>
    <row r="28" spans="1:11" x14ac:dyDescent="0.25">
      <c r="A28" t="s">
        <v>36</v>
      </c>
      <c r="B28" t="s">
        <v>935</v>
      </c>
      <c r="C28" s="3">
        <v>8310</v>
      </c>
      <c r="D28" s="3">
        <v>4334</v>
      </c>
      <c r="E28" s="3">
        <v>9863</v>
      </c>
      <c r="F28">
        <v>2927</v>
      </c>
      <c r="G28">
        <v>1049</v>
      </c>
      <c r="H28">
        <v>103</v>
      </c>
      <c r="I28" t="s">
        <v>942</v>
      </c>
      <c r="J28">
        <v>9</v>
      </c>
      <c r="K28" t="s">
        <v>948</v>
      </c>
    </row>
    <row r="29" spans="1:11" x14ac:dyDescent="0.25">
      <c r="A29" t="s">
        <v>37</v>
      </c>
      <c r="B29" t="s">
        <v>934</v>
      </c>
      <c r="C29" s="3">
        <v>4176</v>
      </c>
      <c r="D29" s="3">
        <v>-2355</v>
      </c>
      <c r="E29" s="3">
        <v>7169</v>
      </c>
      <c r="F29">
        <v>4696</v>
      </c>
      <c r="G29">
        <v>1835</v>
      </c>
      <c r="H29">
        <v>51</v>
      </c>
      <c r="I29" t="s">
        <v>942</v>
      </c>
      <c r="J29">
        <v>6</v>
      </c>
      <c r="K29" t="s">
        <v>947</v>
      </c>
    </row>
    <row r="30" spans="1:11" x14ac:dyDescent="0.25">
      <c r="A30" t="s">
        <v>38</v>
      </c>
      <c r="B30" t="s">
        <v>935</v>
      </c>
      <c r="C30" s="3">
        <v>11870</v>
      </c>
      <c r="D30" s="3">
        <v>7183</v>
      </c>
      <c r="E30" s="3">
        <v>4753</v>
      </c>
      <c r="F30">
        <v>3557</v>
      </c>
      <c r="G30">
        <v>1130</v>
      </c>
      <c r="H30">
        <v>28</v>
      </c>
      <c r="I30" t="s">
        <v>941</v>
      </c>
      <c r="J30">
        <v>10</v>
      </c>
      <c r="K30" t="s">
        <v>946</v>
      </c>
    </row>
    <row r="31" spans="1:11" x14ac:dyDescent="0.25">
      <c r="A31" t="s">
        <v>39</v>
      </c>
      <c r="B31" t="s">
        <v>934</v>
      </c>
      <c r="C31" s="3">
        <v>11799</v>
      </c>
      <c r="D31" s="3">
        <v>8636</v>
      </c>
      <c r="E31" s="3">
        <v>6114</v>
      </c>
      <c r="F31">
        <v>1432</v>
      </c>
      <c r="G31">
        <v>1731</v>
      </c>
      <c r="H31">
        <v>48</v>
      </c>
      <c r="I31" t="s">
        <v>939</v>
      </c>
      <c r="J31">
        <v>2</v>
      </c>
      <c r="K31" t="s">
        <v>945</v>
      </c>
    </row>
    <row r="32" spans="1:11" x14ac:dyDescent="0.25">
      <c r="A32" t="s">
        <v>40</v>
      </c>
      <c r="B32" t="s">
        <v>934</v>
      </c>
      <c r="C32" s="3">
        <v>9177</v>
      </c>
      <c r="D32" s="3">
        <v>3789</v>
      </c>
      <c r="E32" s="3">
        <v>7866</v>
      </c>
      <c r="F32">
        <v>4577</v>
      </c>
      <c r="G32">
        <v>811</v>
      </c>
      <c r="H32">
        <v>66</v>
      </c>
      <c r="I32" t="s">
        <v>938</v>
      </c>
      <c r="J32">
        <v>8</v>
      </c>
      <c r="K32" t="s">
        <v>943</v>
      </c>
    </row>
    <row r="33" spans="1:11" x14ac:dyDescent="0.25">
      <c r="A33" t="s">
        <v>41</v>
      </c>
      <c r="B33" t="s">
        <v>934</v>
      </c>
      <c r="C33" s="3">
        <v>6760</v>
      </c>
      <c r="D33" s="3">
        <v>1914</v>
      </c>
      <c r="E33" s="3">
        <v>4444</v>
      </c>
      <c r="F33">
        <v>3693</v>
      </c>
      <c r="G33">
        <v>1153</v>
      </c>
      <c r="H33">
        <v>51</v>
      </c>
      <c r="I33" t="s">
        <v>941</v>
      </c>
      <c r="J33">
        <v>10</v>
      </c>
      <c r="K33" t="s">
        <v>949</v>
      </c>
    </row>
    <row r="34" spans="1:11" x14ac:dyDescent="0.25">
      <c r="A34" t="s">
        <v>42</v>
      </c>
      <c r="B34" t="s">
        <v>936</v>
      </c>
      <c r="C34" s="3">
        <v>4437</v>
      </c>
      <c r="D34" s="3">
        <v>-443</v>
      </c>
      <c r="E34" s="3">
        <v>8240</v>
      </c>
      <c r="F34">
        <v>3683</v>
      </c>
      <c r="G34">
        <v>1197</v>
      </c>
      <c r="H34">
        <v>94</v>
      </c>
      <c r="I34" t="s">
        <v>938</v>
      </c>
      <c r="J34">
        <v>1</v>
      </c>
      <c r="K34" t="s">
        <v>945</v>
      </c>
    </row>
    <row r="35" spans="1:11" x14ac:dyDescent="0.25">
      <c r="A35" t="s">
        <v>43</v>
      </c>
      <c r="B35" t="s">
        <v>936</v>
      </c>
      <c r="C35" s="3">
        <v>3336</v>
      </c>
      <c r="D35" s="3">
        <v>1687</v>
      </c>
      <c r="E35" s="3">
        <v>5885</v>
      </c>
      <c r="F35">
        <v>879</v>
      </c>
      <c r="G35">
        <v>770</v>
      </c>
      <c r="H35">
        <v>71</v>
      </c>
      <c r="I35" t="s">
        <v>941</v>
      </c>
      <c r="J35">
        <v>7</v>
      </c>
      <c r="K35" t="s">
        <v>944</v>
      </c>
    </row>
    <row r="36" spans="1:11" x14ac:dyDescent="0.25">
      <c r="A36" t="s">
        <v>44</v>
      </c>
      <c r="B36" t="s">
        <v>936</v>
      </c>
      <c r="C36" s="3">
        <v>6859</v>
      </c>
      <c r="D36" s="3">
        <v>4423</v>
      </c>
      <c r="E36" s="3">
        <v>8687</v>
      </c>
      <c r="F36">
        <v>1705</v>
      </c>
      <c r="G36">
        <v>731</v>
      </c>
      <c r="H36">
        <v>11</v>
      </c>
      <c r="I36" t="s">
        <v>942</v>
      </c>
      <c r="J36">
        <v>5</v>
      </c>
      <c r="K36" t="s">
        <v>952</v>
      </c>
    </row>
    <row r="37" spans="1:11" x14ac:dyDescent="0.25">
      <c r="A37" t="s">
        <v>45</v>
      </c>
      <c r="B37" t="s">
        <v>935</v>
      </c>
      <c r="C37" s="3">
        <v>2111</v>
      </c>
      <c r="D37" s="3">
        <v>-2549</v>
      </c>
      <c r="E37" s="3">
        <v>4799</v>
      </c>
      <c r="F37">
        <v>3711</v>
      </c>
      <c r="G37">
        <v>949</v>
      </c>
      <c r="H37">
        <v>63</v>
      </c>
      <c r="I37" t="s">
        <v>940</v>
      </c>
      <c r="J37">
        <v>4</v>
      </c>
      <c r="K37" t="s">
        <v>947</v>
      </c>
    </row>
    <row r="38" spans="1:11" x14ac:dyDescent="0.25">
      <c r="A38" t="s">
        <v>46</v>
      </c>
      <c r="B38" t="s">
        <v>935</v>
      </c>
      <c r="C38" s="3">
        <v>11957</v>
      </c>
      <c r="D38" s="3">
        <v>7897</v>
      </c>
      <c r="E38" s="3">
        <v>4859</v>
      </c>
      <c r="F38">
        <v>3243</v>
      </c>
      <c r="G38">
        <v>817</v>
      </c>
      <c r="H38">
        <v>11</v>
      </c>
      <c r="I38" t="s">
        <v>942</v>
      </c>
      <c r="J38">
        <v>4</v>
      </c>
      <c r="K38" t="s">
        <v>953</v>
      </c>
    </row>
    <row r="39" spans="1:11" x14ac:dyDescent="0.25">
      <c r="A39" t="s">
        <v>47</v>
      </c>
      <c r="B39" t="s">
        <v>935</v>
      </c>
      <c r="C39" s="3">
        <v>11188</v>
      </c>
      <c r="D39" s="3">
        <v>6368</v>
      </c>
      <c r="E39" s="3">
        <v>9404</v>
      </c>
      <c r="F39">
        <v>3501</v>
      </c>
      <c r="G39">
        <v>1319</v>
      </c>
      <c r="H39">
        <v>120</v>
      </c>
      <c r="I39" t="s">
        <v>940</v>
      </c>
      <c r="J39">
        <v>1</v>
      </c>
      <c r="K39" t="s">
        <v>949</v>
      </c>
    </row>
    <row r="40" spans="1:11" x14ac:dyDescent="0.25">
      <c r="A40" t="s">
        <v>48</v>
      </c>
      <c r="B40" t="s">
        <v>936</v>
      </c>
      <c r="C40" s="3">
        <v>10026</v>
      </c>
      <c r="D40" s="3">
        <v>5630</v>
      </c>
      <c r="E40" s="3">
        <v>8300</v>
      </c>
      <c r="F40">
        <v>3182</v>
      </c>
      <c r="G40">
        <v>1214</v>
      </c>
      <c r="H40">
        <v>103</v>
      </c>
      <c r="I40" t="s">
        <v>942</v>
      </c>
      <c r="J40">
        <v>6</v>
      </c>
      <c r="K40" t="s">
        <v>953</v>
      </c>
    </row>
    <row r="41" spans="1:11" x14ac:dyDescent="0.25">
      <c r="A41" t="s">
        <v>49</v>
      </c>
      <c r="B41" t="s">
        <v>934</v>
      </c>
      <c r="C41" s="3">
        <v>3538</v>
      </c>
      <c r="D41" s="3">
        <v>1089</v>
      </c>
      <c r="E41" s="3">
        <v>8373</v>
      </c>
      <c r="F41">
        <v>2142</v>
      </c>
      <c r="G41">
        <v>307</v>
      </c>
      <c r="H41">
        <v>25</v>
      </c>
      <c r="I41" t="s">
        <v>942</v>
      </c>
      <c r="J41">
        <v>8</v>
      </c>
      <c r="K41" t="s">
        <v>946</v>
      </c>
    </row>
    <row r="42" spans="1:11" x14ac:dyDescent="0.25">
      <c r="A42" t="s">
        <v>50</v>
      </c>
      <c r="B42" t="s">
        <v>935</v>
      </c>
      <c r="C42" s="3">
        <v>6570</v>
      </c>
      <c r="D42" s="3">
        <v>798</v>
      </c>
      <c r="E42" s="3">
        <v>9855</v>
      </c>
      <c r="F42">
        <v>3967</v>
      </c>
      <c r="G42">
        <v>1805</v>
      </c>
      <c r="H42">
        <v>48</v>
      </c>
      <c r="I42" t="s">
        <v>938</v>
      </c>
      <c r="J42">
        <v>3</v>
      </c>
      <c r="K42" t="s">
        <v>948</v>
      </c>
    </row>
    <row r="43" spans="1:11" x14ac:dyDescent="0.25">
      <c r="A43" t="s">
        <v>51</v>
      </c>
      <c r="B43" t="s">
        <v>937</v>
      </c>
      <c r="C43" s="3">
        <v>2110</v>
      </c>
      <c r="D43" s="3">
        <v>-2175</v>
      </c>
      <c r="E43" s="3">
        <v>5363</v>
      </c>
      <c r="F43">
        <v>3582</v>
      </c>
      <c r="G43">
        <v>703</v>
      </c>
      <c r="H43">
        <v>113</v>
      </c>
      <c r="I43" t="s">
        <v>942</v>
      </c>
      <c r="J43">
        <v>2</v>
      </c>
      <c r="K43" t="s">
        <v>951</v>
      </c>
    </row>
    <row r="44" spans="1:11" x14ac:dyDescent="0.25">
      <c r="A44" t="s">
        <v>52</v>
      </c>
      <c r="B44" t="s">
        <v>936</v>
      </c>
      <c r="C44" s="3">
        <v>6981</v>
      </c>
      <c r="D44" s="3">
        <v>2158</v>
      </c>
      <c r="E44" s="3">
        <v>7324</v>
      </c>
      <c r="F44">
        <v>3441</v>
      </c>
      <c r="G44">
        <v>1382</v>
      </c>
      <c r="H44">
        <v>107</v>
      </c>
      <c r="I44" t="s">
        <v>941</v>
      </c>
      <c r="J44">
        <v>4</v>
      </c>
      <c r="K44" t="s">
        <v>949</v>
      </c>
    </row>
    <row r="45" spans="1:11" x14ac:dyDescent="0.25">
      <c r="A45" t="s">
        <v>53</v>
      </c>
      <c r="B45" t="s">
        <v>934</v>
      </c>
      <c r="C45" s="3">
        <v>10670</v>
      </c>
      <c r="D45" s="3">
        <v>7447</v>
      </c>
      <c r="E45" s="3">
        <v>9630</v>
      </c>
      <c r="F45">
        <v>1692</v>
      </c>
      <c r="G45">
        <v>1531</v>
      </c>
      <c r="H45">
        <v>22</v>
      </c>
      <c r="I45" t="s">
        <v>938</v>
      </c>
      <c r="J45">
        <v>10</v>
      </c>
      <c r="K45" t="s">
        <v>945</v>
      </c>
    </row>
    <row r="46" spans="1:11" x14ac:dyDescent="0.25">
      <c r="A46" t="s">
        <v>54</v>
      </c>
      <c r="B46" t="s">
        <v>935</v>
      </c>
      <c r="C46" s="3">
        <v>9325</v>
      </c>
      <c r="D46" s="3">
        <v>3561</v>
      </c>
      <c r="E46" s="3">
        <v>4412</v>
      </c>
      <c r="F46">
        <v>4990</v>
      </c>
      <c r="G46">
        <v>774</v>
      </c>
      <c r="H46">
        <v>80</v>
      </c>
      <c r="I46" t="s">
        <v>941</v>
      </c>
      <c r="J46">
        <v>1</v>
      </c>
      <c r="K46" t="s">
        <v>944</v>
      </c>
    </row>
    <row r="47" spans="1:11" x14ac:dyDescent="0.25">
      <c r="A47" t="s">
        <v>55</v>
      </c>
      <c r="B47" t="s">
        <v>936</v>
      </c>
      <c r="C47" s="3">
        <v>10856</v>
      </c>
      <c r="D47" s="3">
        <v>6208</v>
      </c>
      <c r="E47" s="3">
        <v>7424</v>
      </c>
      <c r="F47">
        <v>3568</v>
      </c>
      <c r="G47">
        <v>1080</v>
      </c>
      <c r="H47">
        <v>84</v>
      </c>
      <c r="I47" t="s">
        <v>941</v>
      </c>
      <c r="J47">
        <v>7</v>
      </c>
      <c r="K47" t="s">
        <v>950</v>
      </c>
    </row>
    <row r="48" spans="1:11" x14ac:dyDescent="0.25">
      <c r="A48" t="s">
        <v>56</v>
      </c>
      <c r="B48" t="s">
        <v>937</v>
      </c>
      <c r="C48" s="3">
        <v>3921</v>
      </c>
      <c r="D48" s="3">
        <v>-381</v>
      </c>
      <c r="E48" s="3">
        <v>7113</v>
      </c>
      <c r="F48">
        <v>3198</v>
      </c>
      <c r="G48">
        <v>1104</v>
      </c>
      <c r="H48">
        <v>57</v>
      </c>
      <c r="I48" t="s">
        <v>939</v>
      </c>
      <c r="J48">
        <v>10</v>
      </c>
      <c r="K48" t="s">
        <v>946</v>
      </c>
    </row>
    <row r="49" spans="1:11" x14ac:dyDescent="0.25">
      <c r="A49" t="s">
        <v>57</v>
      </c>
      <c r="B49" t="s">
        <v>934</v>
      </c>
      <c r="C49" s="3">
        <v>5796</v>
      </c>
      <c r="D49" s="3">
        <v>562</v>
      </c>
      <c r="E49" s="3">
        <v>8112</v>
      </c>
      <c r="F49">
        <v>4673</v>
      </c>
      <c r="G49">
        <v>561</v>
      </c>
      <c r="H49">
        <v>88</v>
      </c>
      <c r="I49" t="s">
        <v>940</v>
      </c>
      <c r="J49">
        <v>4</v>
      </c>
      <c r="K49" t="s">
        <v>943</v>
      </c>
    </row>
    <row r="50" spans="1:11" x14ac:dyDescent="0.25">
      <c r="A50" t="s">
        <v>58</v>
      </c>
      <c r="B50" t="s">
        <v>937</v>
      </c>
      <c r="C50" s="3">
        <v>10916</v>
      </c>
      <c r="D50" s="3">
        <v>6691</v>
      </c>
      <c r="E50" s="3">
        <v>6260</v>
      </c>
      <c r="F50">
        <v>3418</v>
      </c>
      <c r="G50">
        <v>807</v>
      </c>
      <c r="H50">
        <v>86</v>
      </c>
      <c r="I50" t="s">
        <v>941</v>
      </c>
      <c r="J50">
        <v>7</v>
      </c>
      <c r="K50" t="s">
        <v>951</v>
      </c>
    </row>
    <row r="51" spans="1:11" x14ac:dyDescent="0.25">
      <c r="A51" t="s">
        <v>59</v>
      </c>
      <c r="B51" t="s">
        <v>935</v>
      </c>
      <c r="C51" s="3">
        <v>10576</v>
      </c>
      <c r="D51" s="3">
        <v>6540</v>
      </c>
      <c r="E51" s="3">
        <v>7557</v>
      </c>
      <c r="F51">
        <v>3427</v>
      </c>
      <c r="G51">
        <v>609</v>
      </c>
      <c r="H51">
        <v>11</v>
      </c>
      <c r="I51" t="s">
        <v>939</v>
      </c>
      <c r="J51">
        <v>1</v>
      </c>
      <c r="K51" t="s">
        <v>951</v>
      </c>
    </row>
    <row r="52" spans="1:11" x14ac:dyDescent="0.25">
      <c r="A52" t="s">
        <v>60</v>
      </c>
      <c r="B52" t="s">
        <v>937</v>
      </c>
      <c r="C52" s="3">
        <v>2992</v>
      </c>
      <c r="D52" s="3">
        <v>-1859</v>
      </c>
      <c r="E52" s="3">
        <v>8991</v>
      </c>
      <c r="F52">
        <v>2913</v>
      </c>
      <c r="G52">
        <v>1938</v>
      </c>
      <c r="H52">
        <v>104</v>
      </c>
      <c r="I52" t="s">
        <v>938</v>
      </c>
      <c r="J52">
        <v>4</v>
      </c>
      <c r="K52" t="s">
        <v>948</v>
      </c>
    </row>
    <row r="53" spans="1:11" x14ac:dyDescent="0.25">
      <c r="A53" t="s">
        <v>61</v>
      </c>
      <c r="B53" t="s">
        <v>936</v>
      </c>
      <c r="C53" s="3">
        <v>4433</v>
      </c>
      <c r="D53" s="3">
        <v>2385</v>
      </c>
      <c r="E53" s="3">
        <v>4491</v>
      </c>
      <c r="F53">
        <v>1330</v>
      </c>
      <c r="G53">
        <v>718</v>
      </c>
      <c r="H53">
        <v>72</v>
      </c>
      <c r="I53" t="s">
        <v>938</v>
      </c>
      <c r="J53">
        <v>1</v>
      </c>
      <c r="K53" t="s">
        <v>944</v>
      </c>
    </row>
    <row r="54" spans="1:11" x14ac:dyDescent="0.25">
      <c r="A54" t="s">
        <v>62</v>
      </c>
      <c r="B54" t="s">
        <v>934</v>
      </c>
      <c r="C54" s="3">
        <v>8075</v>
      </c>
      <c r="D54" s="3">
        <v>5531</v>
      </c>
      <c r="E54" s="3">
        <v>7744</v>
      </c>
      <c r="F54">
        <v>1517</v>
      </c>
      <c r="G54">
        <v>1027</v>
      </c>
      <c r="H54">
        <v>112</v>
      </c>
      <c r="I54" t="s">
        <v>939</v>
      </c>
      <c r="J54">
        <v>9</v>
      </c>
      <c r="K54" t="s">
        <v>943</v>
      </c>
    </row>
    <row r="55" spans="1:11" x14ac:dyDescent="0.25">
      <c r="A55" t="s">
        <v>63</v>
      </c>
      <c r="B55" t="s">
        <v>934</v>
      </c>
      <c r="C55" s="3">
        <v>2698</v>
      </c>
      <c r="D55" s="3">
        <v>-910</v>
      </c>
      <c r="E55" s="3">
        <v>4022</v>
      </c>
      <c r="F55">
        <v>2747</v>
      </c>
      <c r="G55">
        <v>861</v>
      </c>
      <c r="H55">
        <v>29</v>
      </c>
      <c r="I55" t="s">
        <v>940</v>
      </c>
      <c r="J55">
        <v>5</v>
      </c>
      <c r="K55" t="s">
        <v>948</v>
      </c>
    </row>
    <row r="56" spans="1:11" x14ac:dyDescent="0.25">
      <c r="A56" t="s">
        <v>64</v>
      </c>
      <c r="B56" t="s">
        <v>937</v>
      </c>
      <c r="C56" s="3">
        <v>8693</v>
      </c>
      <c r="D56" s="3">
        <v>4815</v>
      </c>
      <c r="E56" s="3">
        <v>8579</v>
      </c>
      <c r="F56">
        <v>3482</v>
      </c>
      <c r="G56">
        <v>396</v>
      </c>
      <c r="H56">
        <v>30</v>
      </c>
      <c r="I56" t="s">
        <v>940</v>
      </c>
      <c r="J56">
        <v>10</v>
      </c>
      <c r="K56" t="s">
        <v>951</v>
      </c>
    </row>
    <row r="57" spans="1:11" x14ac:dyDescent="0.25">
      <c r="A57" t="s">
        <v>65</v>
      </c>
      <c r="B57" t="s">
        <v>934</v>
      </c>
      <c r="C57" s="3">
        <v>6658</v>
      </c>
      <c r="D57" s="3">
        <v>4600</v>
      </c>
      <c r="E57" s="3">
        <v>8496</v>
      </c>
      <c r="F57">
        <v>1024</v>
      </c>
      <c r="G57">
        <v>1034</v>
      </c>
      <c r="H57">
        <v>110</v>
      </c>
      <c r="I57" t="s">
        <v>940</v>
      </c>
      <c r="J57">
        <v>2</v>
      </c>
      <c r="K57" t="s">
        <v>949</v>
      </c>
    </row>
    <row r="58" spans="1:11" x14ac:dyDescent="0.25">
      <c r="A58" t="s">
        <v>66</v>
      </c>
      <c r="B58" t="s">
        <v>937</v>
      </c>
      <c r="C58" s="3">
        <v>8237</v>
      </c>
      <c r="D58" s="3">
        <v>3212</v>
      </c>
      <c r="E58" s="3">
        <v>7991</v>
      </c>
      <c r="F58">
        <v>3640</v>
      </c>
      <c r="G58">
        <v>1385</v>
      </c>
      <c r="H58">
        <v>74</v>
      </c>
      <c r="I58" t="s">
        <v>941</v>
      </c>
      <c r="J58">
        <v>6</v>
      </c>
      <c r="K58" t="s">
        <v>952</v>
      </c>
    </row>
    <row r="59" spans="1:11" x14ac:dyDescent="0.25">
      <c r="A59" t="s">
        <v>67</v>
      </c>
      <c r="B59" t="s">
        <v>936</v>
      </c>
      <c r="C59" s="3">
        <v>9914</v>
      </c>
      <c r="D59" s="3">
        <v>6314</v>
      </c>
      <c r="E59" s="3">
        <v>7019</v>
      </c>
      <c r="F59">
        <v>3100</v>
      </c>
      <c r="G59">
        <v>500</v>
      </c>
      <c r="H59">
        <v>60</v>
      </c>
      <c r="I59" t="s">
        <v>940</v>
      </c>
      <c r="J59">
        <v>1</v>
      </c>
      <c r="K59" t="s">
        <v>954</v>
      </c>
    </row>
    <row r="60" spans="1:11" x14ac:dyDescent="0.25">
      <c r="A60" t="s">
        <v>68</v>
      </c>
      <c r="B60" t="s">
        <v>935</v>
      </c>
      <c r="C60" s="3">
        <v>10377</v>
      </c>
      <c r="D60" s="3">
        <v>3966</v>
      </c>
      <c r="E60" s="3">
        <v>7272</v>
      </c>
      <c r="F60">
        <v>4418</v>
      </c>
      <c r="G60">
        <v>1993</v>
      </c>
      <c r="H60">
        <v>64</v>
      </c>
      <c r="I60" t="s">
        <v>941</v>
      </c>
      <c r="J60">
        <v>3</v>
      </c>
      <c r="K60" t="s">
        <v>949</v>
      </c>
    </row>
    <row r="61" spans="1:11" x14ac:dyDescent="0.25">
      <c r="A61" t="s">
        <v>69</v>
      </c>
      <c r="B61" t="s">
        <v>935</v>
      </c>
      <c r="C61" s="3">
        <v>4355</v>
      </c>
      <c r="D61" s="3">
        <v>2401</v>
      </c>
      <c r="E61" s="3">
        <v>5269</v>
      </c>
      <c r="F61">
        <v>1572</v>
      </c>
      <c r="G61">
        <v>382</v>
      </c>
      <c r="H61">
        <v>61</v>
      </c>
      <c r="I61" t="s">
        <v>941</v>
      </c>
      <c r="J61">
        <v>2</v>
      </c>
      <c r="K61" t="s">
        <v>947</v>
      </c>
    </row>
    <row r="62" spans="1:11" x14ac:dyDescent="0.25">
      <c r="A62" t="s">
        <v>70</v>
      </c>
      <c r="B62" t="s">
        <v>934</v>
      </c>
      <c r="C62" s="3">
        <v>5245</v>
      </c>
      <c r="D62" s="3">
        <v>475</v>
      </c>
      <c r="E62" s="3">
        <v>6237</v>
      </c>
      <c r="F62">
        <v>4303</v>
      </c>
      <c r="G62">
        <v>467</v>
      </c>
      <c r="H62">
        <v>94</v>
      </c>
      <c r="I62" t="s">
        <v>942</v>
      </c>
      <c r="J62">
        <v>9</v>
      </c>
      <c r="K62" t="s">
        <v>944</v>
      </c>
    </row>
    <row r="63" spans="1:11" x14ac:dyDescent="0.25">
      <c r="A63" t="s">
        <v>71</v>
      </c>
      <c r="B63" t="s">
        <v>934</v>
      </c>
      <c r="C63" s="3">
        <v>9503</v>
      </c>
      <c r="D63" s="3">
        <v>3120</v>
      </c>
      <c r="E63" s="3">
        <v>9444</v>
      </c>
      <c r="F63">
        <v>4458</v>
      </c>
      <c r="G63">
        <v>1925</v>
      </c>
      <c r="H63">
        <v>34</v>
      </c>
      <c r="I63" t="s">
        <v>938</v>
      </c>
      <c r="J63">
        <v>2</v>
      </c>
      <c r="K63" t="s">
        <v>948</v>
      </c>
    </row>
    <row r="64" spans="1:11" x14ac:dyDescent="0.25">
      <c r="A64" t="s">
        <v>72</v>
      </c>
      <c r="B64" t="s">
        <v>936</v>
      </c>
      <c r="C64" s="3">
        <v>5220</v>
      </c>
      <c r="D64" s="3">
        <v>997</v>
      </c>
      <c r="E64" s="3">
        <v>9766</v>
      </c>
      <c r="F64">
        <v>3282</v>
      </c>
      <c r="G64">
        <v>941</v>
      </c>
      <c r="H64">
        <v>31</v>
      </c>
      <c r="I64" t="s">
        <v>940</v>
      </c>
      <c r="J64">
        <v>6</v>
      </c>
      <c r="K64" t="s">
        <v>947</v>
      </c>
    </row>
    <row r="65" spans="1:11" x14ac:dyDescent="0.25">
      <c r="A65" t="s">
        <v>73</v>
      </c>
      <c r="B65" t="s">
        <v>936</v>
      </c>
      <c r="C65" s="3">
        <v>11901</v>
      </c>
      <c r="D65" s="3">
        <v>9328</v>
      </c>
      <c r="E65" s="3">
        <v>7528</v>
      </c>
      <c r="F65">
        <v>2001</v>
      </c>
      <c r="G65">
        <v>572</v>
      </c>
      <c r="H65">
        <v>105</v>
      </c>
      <c r="I65" t="s">
        <v>940</v>
      </c>
      <c r="J65">
        <v>7</v>
      </c>
      <c r="K65" t="s">
        <v>951</v>
      </c>
    </row>
    <row r="66" spans="1:11" x14ac:dyDescent="0.25">
      <c r="A66" t="s">
        <v>74</v>
      </c>
      <c r="B66" t="s">
        <v>936</v>
      </c>
      <c r="C66" s="3">
        <v>4670</v>
      </c>
      <c r="D66" s="3">
        <v>885</v>
      </c>
      <c r="E66" s="3">
        <v>6663</v>
      </c>
      <c r="F66">
        <v>2370</v>
      </c>
      <c r="G66">
        <v>1415</v>
      </c>
      <c r="H66">
        <v>74</v>
      </c>
      <c r="I66" t="s">
        <v>938</v>
      </c>
      <c r="J66">
        <v>7</v>
      </c>
      <c r="K66" t="s">
        <v>946</v>
      </c>
    </row>
    <row r="67" spans="1:11" x14ac:dyDescent="0.25">
      <c r="A67" t="s">
        <v>75</v>
      </c>
      <c r="B67" t="s">
        <v>935</v>
      </c>
      <c r="C67" s="3">
        <v>5396</v>
      </c>
      <c r="D67" s="3">
        <v>2034</v>
      </c>
      <c r="E67" s="3">
        <v>6738</v>
      </c>
      <c r="F67">
        <v>2458</v>
      </c>
      <c r="G67">
        <v>904</v>
      </c>
      <c r="H67">
        <v>96</v>
      </c>
      <c r="I67" t="s">
        <v>942</v>
      </c>
      <c r="J67">
        <v>6</v>
      </c>
      <c r="K67" t="s">
        <v>949</v>
      </c>
    </row>
    <row r="68" spans="1:11" x14ac:dyDescent="0.25">
      <c r="A68" t="s">
        <v>76</v>
      </c>
      <c r="B68" t="s">
        <v>936</v>
      </c>
      <c r="C68" s="3">
        <v>4191</v>
      </c>
      <c r="D68" s="3">
        <v>-1490</v>
      </c>
      <c r="E68" s="3">
        <v>6089</v>
      </c>
      <c r="F68">
        <v>3968</v>
      </c>
      <c r="G68">
        <v>1713</v>
      </c>
      <c r="H68">
        <v>108</v>
      </c>
      <c r="I68" t="s">
        <v>938</v>
      </c>
      <c r="J68">
        <v>4</v>
      </c>
      <c r="K68" t="s">
        <v>949</v>
      </c>
    </row>
    <row r="69" spans="1:11" x14ac:dyDescent="0.25">
      <c r="A69" t="s">
        <v>77</v>
      </c>
      <c r="B69" t="s">
        <v>937</v>
      </c>
      <c r="C69" s="3">
        <v>9039</v>
      </c>
      <c r="D69" s="3">
        <v>3493</v>
      </c>
      <c r="E69" s="3">
        <v>8858</v>
      </c>
      <c r="F69">
        <v>4834</v>
      </c>
      <c r="G69">
        <v>712</v>
      </c>
      <c r="H69">
        <v>75</v>
      </c>
      <c r="I69" t="s">
        <v>939</v>
      </c>
      <c r="J69">
        <v>6</v>
      </c>
      <c r="K69" t="s">
        <v>945</v>
      </c>
    </row>
    <row r="70" spans="1:11" x14ac:dyDescent="0.25">
      <c r="A70" t="s">
        <v>62</v>
      </c>
      <c r="B70" t="s">
        <v>937</v>
      </c>
      <c r="C70" s="3">
        <v>8075</v>
      </c>
      <c r="D70" s="3">
        <v>2867</v>
      </c>
      <c r="E70" s="3">
        <v>5764</v>
      </c>
      <c r="F70">
        <v>4243</v>
      </c>
      <c r="G70">
        <v>965</v>
      </c>
      <c r="H70">
        <v>102</v>
      </c>
      <c r="I70" t="s">
        <v>942</v>
      </c>
      <c r="J70">
        <v>3</v>
      </c>
      <c r="K70" t="s">
        <v>943</v>
      </c>
    </row>
    <row r="71" spans="1:11" x14ac:dyDescent="0.25">
      <c r="A71" t="s">
        <v>78</v>
      </c>
      <c r="B71" t="s">
        <v>936</v>
      </c>
      <c r="C71" s="3">
        <v>7096</v>
      </c>
      <c r="D71" s="3">
        <v>4538</v>
      </c>
      <c r="E71" s="3">
        <v>9849</v>
      </c>
      <c r="F71">
        <v>2326</v>
      </c>
      <c r="G71">
        <v>232</v>
      </c>
      <c r="H71">
        <v>51</v>
      </c>
      <c r="I71" t="s">
        <v>939</v>
      </c>
      <c r="J71">
        <v>6</v>
      </c>
      <c r="K71" t="s">
        <v>954</v>
      </c>
    </row>
    <row r="72" spans="1:11" x14ac:dyDescent="0.25">
      <c r="A72" t="s">
        <v>79</v>
      </c>
      <c r="B72" t="s">
        <v>934</v>
      </c>
      <c r="C72" s="3">
        <v>7037</v>
      </c>
      <c r="D72" s="3">
        <v>5008</v>
      </c>
      <c r="E72" s="3">
        <v>6936</v>
      </c>
      <c r="F72">
        <v>1476</v>
      </c>
      <c r="G72">
        <v>553</v>
      </c>
      <c r="H72">
        <v>24</v>
      </c>
      <c r="I72" t="s">
        <v>938</v>
      </c>
      <c r="J72">
        <v>9</v>
      </c>
      <c r="K72" t="s">
        <v>953</v>
      </c>
    </row>
    <row r="73" spans="1:11" x14ac:dyDescent="0.25">
      <c r="A73" t="s">
        <v>80</v>
      </c>
      <c r="B73" t="s">
        <v>936</v>
      </c>
      <c r="C73" s="3">
        <v>6163</v>
      </c>
      <c r="D73" s="3">
        <v>700</v>
      </c>
      <c r="E73" s="3">
        <v>6924</v>
      </c>
      <c r="F73">
        <v>3688</v>
      </c>
      <c r="G73">
        <v>1775</v>
      </c>
      <c r="H73">
        <v>79</v>
      </c>
      <c r="I73" t="s">
        <v>940</v>
      </c>
      <c r="J73">
        <v>4</v>
      </c>
      <c r="K73" t="s">
        <v>949</v>
      </c>
    </row>
    <row r="74" spans="1:11" x14ac:dyDescent="0.25">
      <c r="A74" t="s">
        <v>81</v>
      </c>
      <c r="B74" t="s">
        <v>936</v>
      </c>
      <c r="C74" s="3">
        <v>3364</v>
      </c>
      <c r="D74" s="3">
        <v>1135</v>
      </c>
      <c r="E74" s="3">
        <v>5879</v>
      </c>
      <c r="F74">
        <v>1283</v>
      </c>
      <c r="G74">
        <v>946</v>
      </c>
      <c r="H74">
        <v>21</v>
      </c>
      <c r="I74" t="s">
        <v>938</v>
      </c>
      <c r="J74">
        <v>9</v>
      </c>
      <c r="K74" t="s">
        <v>945</v>
      </c>
    </row>
    <row r="75" spans="1:11" x14ac:dyDescent="0.25">
      <c r="A75" t="s">
        <v>82</v>
      </c>
      <c r="B75" t="s">
        <v>936</v>
      </c>
      <c r="C75" s="3">
        <v>6630</v>
      </c>
      <c r="D75" s="3">
        <v>5478</v>
      </c>
      <c r="E75" s="3">
        <v>9770</v>
      </c>
      <c r="F75">
        <v>939</v>
      </c>
      <c r="G75">
        <v>213</v>
      </c>
      <c r="H75">
        <v>111</v>
      </c>
      <c r="I75" t="s">
        <v>942</v>
      </c>
      <c r="J75">
        <v>7</v>
      </c>
      <c r="K75" t="s">
        <v>950</v>
      </c>
    </row>
    <row r="76" spans="1:11" x14ac:dyDescent="0.25">
      <c r="A76" t="s">
        <v>30</v>
      </c>
      <c r="B76" t="s">
        <v>935</v>
      </c>
      <c r="C76" s="3">
        <v>10309</v>
      </c>
      <c r="D76" s="3">
        <v>7538</v>
      </c>
      <c r="E76" s="3">
        <v>6344</v>
      </c>
      <c r="F76">
        <v>1243</v>
      </c>
      <c r="G76">
        <v>1528</v>
      </c>
      <c r="H76">
        <v>21</v>
      </c>
      <c r="I76" t="s">
        <v>940</v>
      </c>
      <c r="J76">
        <v>3</v>
      </c>
      <c r="K76" t="s">
        <v>947</v>
      </c>
    </row>
    <row r="77" spans="1:11" x14ac:dyDescent="0.25">
      <c r="A77" t="s">
        <v>83</v>
      </c>
      <c r="B77" t="s">
        <v>937</v>
      </c>
      <c r="C77" s="3">
        <v>2920</v>
      </c>
      <c r="D77" s="3">
        <v>-1999</v>
      </c>
      <c r="E77" s="3">
        <v>5013</v>
      </c>
      <c r="F77">
        <v>4123</v>
      </c>
      <c r="G77">
        <v>796</v>
      </c>
      <c r="H77">
        <v>36</v>
      </c>
      <c r="I77" t="s">
        <v>942</v>
      </c>
      <c r="J77">
        <v>4</v>
      </c>
      <c r="K77" t="s">
        <v>953</v>
      </c>
    </row>
    <row r="78" spans="1:11" x14ac:dyDescent="0.25">
      <c r="A78" t="s">
        <v>84</v>
      </c>
      <c r="B78" t="s">
        <v>937</v>
      </c>
      <c r="C78" s="3">
        <v>7928</v>
      </c>
      <c r="D78" s="3">
        <v>3425</v>
      </c>
      <c r="E78" s="3">
        <v>9345</v>
      </c>
      <c r="F78">
        <v>3679</v>
      </c>
      <c r="G78">
        <v>824</v>
      </c>
      <c r="H78">
        <v>62</v>
      </c>
      <c r="I78" t="s">
        <v>938</v>
      </c>
      <c r="J78">
        <v>1</v>
      </c>
      <c r="K78" t="s">
        <v>949</v>
      </c>
    </row>
    <row r="79" spans="1:11" x14ac:dyDescent="0.25">
      <c r="A79" t="s">
        <v>85</v>
      </c>
      <c r="B79" t="s">
        <v>937</v>
      </c>
      <c r="C79" s="3">
        <v>2190</v>
      </c>
      <c r="D79" s="3">
        <v>-1827</v>
      </c>
      <c r="E79" s="3">
        <v>5315</v>
      </c>
      <c r="F79">
        <v>3083</v>
      </c>
      <c r="G79">
        <v>934</v>
      </c>
      <c r="H79">
        <v>40</v>
      </c>
      <c r="I79" t="s">
        <v>941</v>
      </c>
      <c r="J79">
        <v>10</v>
      </c>
      <c r="K79" t="s">
        <v>943</v>
      </c>
    </row>
    <row r="80" spans="1:11" x14ac:dyDescent="0.25">
      <c r="A80" t="s">
        <v>86</v>
      </c>
      <c r="B80" t="s">
        <v>935</v>
      </c>
      <c r="C80" s="3">
        <v>7468</v>
      </c>
      <c r="D80" s="3">
        <v>2010</v>
      </c>
      <c r="E80" s="3">
        <v>7329</v>
      </c>
      <c r="F80">
        <v>4498</v>
      </c>
      <c r="G80">
        <v>960</v>
      </c>
      <c r="H80">
        <v>48</v>
      </c>
      <c r="I80" t="s">
        <v>939</v>
      </c>
      <c r="J80">
        <v>6</v>
      </c>
      <c r="K80" t="s">
        <v>946</v>
      </c>
    </row>
    <row r="81" spans="1:11" x14ac:dyDescent="0.25">
      <c r="A81" t="s">
        <v>87</v>
      </c>
      <c r="B81" t="s">
        <v>936</v>
      </c>
      <c r="C81" s="3">
        <v>10641</v>
      </c>
      <c r="D81" s="3">
        <v>5828</v>
      </c>
      <c r="E81" s="3">
        <v>5772</v>
      </c>
      <c r="F81">
        <v>4048</v>
      </c>
      <c r="G81">
        <v>765</v>
      </c>
      <c r="H81">
        <v>68</v>
      </c>
      <c r="I81" t="s">
        <v>940</v>
      </c>
      <c r="J81">
        <v>8</v>
      </c>
      <c r="K81" t="s">
        <v>943</v>
      </c>
    </row>
    <row r="82" spans="1:11" x14ac:dyDescent="0.25">
      <c r="A82" t="s">
        <v>88</v>
      </c>
      <c r="B82" t="s">
        <v>935</v>
      </c>
      <c r="C82" s="3">
        <v>7356</v>
      </c>
      <c r="D82" s="3">
        <v>3619</v>
      </c>
      <c r="E82" s="3">
        <v>6317</v>
      </c>
      <c r="F82">
        <v>3227</v>
      </c>
      <c r="G82">
        <v>510</v>
      </c>
      <c r="H82">
        <v>68</v>
      </c>
      <c r="I82" t="s">
        <v>942</v>
      </c>
      <c r="J82">
        <v>2</v>
      </c>
      <c r="K82" t="s">
        <v>950</v>
      </c>
    </row>
    <row r="83" spans="1:11" x14ac:dyDescent="0.25">
      <c r="A83" t="s">
        <v>89</v>
      </c>
      <c r="B83" t="s">
        <v>934</v>
      </c>
      <c r="C83" s="3">
        <v>8657</v>
      </c>
      <c r="D83" s="3">
        <v>5920</v>
      </c>
      <c r="E83" s="3">
        <v>9581</v>
      </c>
      <c r="F83">
        <v>1982</v>
      </c>
      <c r="G83">
        <v>755</v>
      </c>
      <c r="H83">
        <v>87</v>
      </c>
      <c r="I83" t="s">
        <v>939</v>
      </c>
      <c r="J83">
        <v>6</v>
      </c>
      <c r="K83" t="s">
        <v>943</v>
      </c>
    </row>
    <row r="84" spans="1:11" x14ac:dyDescent="0.25">
      <c r="A84" t="s">
        <v>90</v>
      </c>
      <c r="B84" t="s">
        <v>935</v>
      </c>
      <c r="C84" s="3">
        <v>3375</v>
      </c>
      <c r="D84" s="3">
        <v>-302</v>
      </c>
      <c r="E84" s="3">
        <v>7343</v>
      </c>
      <c r="F84">
        <v>2298</v>
      </c>
      <c r="G84">
        <v>1379</v>
      </c>
      <c r="H84">
        <v>17</v>
      </c>
      <c r="I84" t="s">
        <v>940</v>
      </c>
      <c r="J84">
        <v>5</v>
      </c>
      <c r="K84" t="s">
        <v>950</v>
      </c>
    </row>
    <row r="85" spans="1:11" x14ac:dyDescent="0.25">
      <c r="A85" t="s">
        <v>91</v>
      </c>
      <c r="B85" t="s">
        <v>934</v>
      </c>
      <c r="C85" s="3">
        <v>4946</v>
      </c>
      <c r="D85" s="3">
        <v>3332</v>
      </c>
      <c r="E85" s="3">
        <v>4282</v>
      </c>
      <c r="F85">
        <v>910</v>
      </c>
      <c r="G85">
        <v>704</v>
      </c>
      <c r="H85">
        <v>64</v>
      </c>
      <c r="I85" t="s">
        <v>938</v>
      </c>
      <c r="J85">
        <v>6</v>
      </c>
      <c r="K85" t="s">
        <v>952</v>
      </c>
    </row>
    <row r="86" spans="1:11" x14ac:dyDescent="0.25">
      <c r="A86" t="s">
        <v>92</v>
      </c>
      <c r="B86" t="s">
        <v>935</v>
      </c>
      <c r="C86" s="3">
        <v>3653</v>
      </c>
      <c r="D86" s="3">
        <v>1329</v>
      </c>
      <c r="E86" s="3">
        <v>6675</v>
      </c>
      <c r="F86">
        <v>1328</v>
      </c>
      <c r="G86">
        <v>996</v>
      </c>
      <c r="H86">
        <v>35</v>
      </c>
      <c r="I86" t="s">
        <v>941</v>
      </c>
      <c r="J86">
        <v>5</v>
      </c>
      <c r="K86" t="s">
        <v>949</v>
      </c>
    </row>
    <row r="87" spans="1:11" x14ac:dyDescent="0.25">
      <c r="A87" t="s">
        <v>93</v>
      </c>
      <c r="B87" t="s">
        <v>936</v>
      </c>
      <c r="C87" s="3">
        <v>3944</v>
      </c>
      <c r="D87" s="3">
        <v>-1644</v>
      </c>
      <c r="E87" s="3">
        <v>6044</v>
      </c>
      <c r="F87">
        <v>4191</v>
      </c>
      <c r="G87">
        <v>1397</v>
      </c>
      <c r="H87">
        <v>55</v>
      </c>
      <c r="I87" t="s">
        <v>942</v>
      </c>
      <c r="J87">
        <v>4</v>
      </c>
      <c r="K87" t="s">
        <v>943</v>
      </c>
    </row>
    <row r="88" spans="1:11" x14ac:dyDescent="0.25">
      <c r="A88" t="s">
        <v>94</v>
      </c>
      <c r="B88" t="s">
        <v>936</v>
      </c>
      <c r="C88" s="3">
        <v>9450</v>
      </c>
      <c r="D88" s="3">
        <v>6761</v>
      </c>
      <c r="E88" s="3">
        <v>8893</v>
      </c>
      <c r="F88">
        <v>1987</v>
      </c>
      <c r="G88">
        <v>702</v>
      </c>
      <c r="H88">
        <v>57</v>
      </c>
      <c r="I88" t="s">
        <v>939</v>
      </c>
      <c r="J88">
        <v>4</v>
      </c>
      <c r="K88" t="s">
        <v>951</v>
      </c>
    </row>
    <row r="89" spans="1:11" x14ac:dyDescent="0.25">
      <c r="A89" t="s">
        <v>95</v>
      </c>
      <c r="B89" t="s">
        <v>934</v>
      </c>
      <c r="C89" s="3">
        <v>11301</v>
      </c>
      <c r="D89" s="3">
        <v>8497</v>
      </c>
      <c r="E89" s="3">
        <v>9368</v>
      </c>
      <c r="F89">
        <v>1315</v>
      </c>
      <c r="G89">
        <v>1489</v>
      </c>
      <c r="H89">
        <v>118</v>
      </c>
      <c r="I89" t="s">
        <v>938</v>
      </c>
      <c r="J89">
        <v>8</v>
      </c>
      <c r="K89" t="s">
        <v>954</v>
      </c>
    </row>
    <row r="90" spans="1:11" x14ac:dyDescent="0.25">
      <c r="A90" t="s">
        <v>96</v>
      </c>
      <c r="B90" t="s">
        <v>936</v>
      </c>
      <c r="C90" s="3">
        <v>4255</v>
      </c>
      <c r="D90" s="3">
        <v>-1565</v>
      </c>
      <c r="E90" s="3">
        <v>7281</v>
      </c>
      <c r="F90">
        <v>4122</v>
      </c>
      <c r="G90">
        <v>1698</v>
      </c>
      <c r="H90">
        <v>66</v>
      </c>
      <c r="I90" t="s">
        <v>941</v>
      </c>
      <c r="J90">
        <v>10</v>
      </c>
      <c r="K90" t="s">
        <v>945</v>
      </c>
    </row>
    <row r="91" spans="1:11" x14ac:dyDescent="0.25">
      <c r="A91" t="s">
        <v>97</v>
      </c>
      <c r="B91" t="s">
        <v>935</v>
      </c>
      <c r="C91" s="3">
        <v>2980</v>
      </c>
      <c r="D91" s="3">
        <v>-1855</v>
      </c>
      <c r="E91" s="3">
        <v>5981</v>
      </c>
      <c r="F91">
        <v>3489</v>
      </c>
      <c r="G91">
        <v>1346</v>
      </c>
      <c r="H91">
        <v>17</v>
      </c>
      <c r="I91" t="s">
        <v>942</v>
      </c>
      <c r="J91">
        <v>9</v>
      </c>
      <c r="K91" t="s">
        <v>948</v>
      </c>
    </row>
    <row r="92" spans="1:11" x14ac:dyDescent="0.25">
      <c r="A92" t="s">
        <v>98</v>
      </c>
      <c r="B92" t="s">
        <v>935</v>
      </c>
      <c r="C92" s="3">
        <v>3777</v>
      </c>
      <c r="D92" s="3">
        <v>204</v>
      </c>
      <c r="E92" s="3">
        <v>7199</v>
      </c>
      <c r="F92">
        <v>1649</v>
      </c>
      <c r="G92">
        <v>1924</v>
      </c>
      <c r="H92">
        <v>96</v>
      </c>
      <c r="I92" t="s">
        <v>940</v>
      </c>
      <c r="J92">
        <v>4</v>
      </c>
      <c r="K92" t="s">
        <v>945</v>
      </c>
    </row>
    <row r="93" spans="1:11" x14ac:dyDescent="0.25">
      <c r="A93" t="s">
        <v>99</v>
      </c>
      <c r="B93" t="s">
        <v>934</v>
      </c>
      <c r="C93" s="3">
        <v>4727</v>
      </c>
      <c r="D93" s="3">
        <v>1889</v>
      </c>
      <c r="E93" s="3">
        <v>8877</v>
      </c>
      <c r="F93">
        <v>2515</v>
      </c>
      <c r="G93">
        <v>323</v>
      </c>
      <c r="H93">
        <v>57</v>
      </c>
      <c r="I93" t="s">
        <v>939</v>
      </c>
      <c r="J93">
        <v>2</v>
      </c>
      <c r="K93" t="s">
        <v>953</v>
      </c>
    </row>
    <row r="94" spans="1:11" x14ac:dyDescent="0.25">
      <c r="A94" t="s">
        <v>100</v>
      </c>
      <c r="B94" t="s">
        <v>937</v>
      </c>
      <c r="C94" s="3">
        <v>6695</v>
      </c>
      <c r="D94" s="3">
        <v>4180</v>
      </c>
      <c r="E94" s="3">
        <v>4146</v>
      </c>
      <c r="F94">
        <v>2187</v>
      </c>
      <c r="G94">
        <v>328</v>
      </c>
      <c r="H94">
        <v>105</v>
      </c>
      <c r="I94" t="s">
        <v>941</v>
      </c>
      <c r="J94">
        <v>8</v>
      </c>
      <c r="K94" t="s">
        <v>949</v>
      </c>
    </row>
    <row r="95" spans="1:11" x14ac:dyDescent="0.25">
      <c r="A95" t="s">
        <v>32</v>
      </c>
      <c r="B95" t="s">
        <v>935</v>
      </c>
      <c r="C95" s="3">
        <v>5231</v>
      </c>
      <c r="D95" s="3">
        <v>1316</v>
      </c>
      <c r="E95" s="3">
        <v>5439</v>
      </c>
      <c r="F95">
        <v>2935</v>
      </c>
      <c r="G95">
        <v>980</v>
      </c>
      <c r="H95">
        <v>37</v>
      </c>
      <c r="I95" t="s">
        <v>941</v>
      </c>
      <c r="J95">
        <v>8</v>
      </c>
      <c r="K95" t="s">
        <v>948</v>
      </c>
    </row>
    <row r="96" spans="1:11" x14ac:dyDescent="0.25">
      <c r="A96" t="s">
        <v>101</v>
      </c>
      <c r="B96" t="s">
        <v>937</v>
      </c>
      <c r="C96" s="3">
        <v>2189</v>
      </c>
      <c r="D96" s="3">
        <v>185</v>
      </c>
      <c r="E96" s="3">
        <v>5747</v>
      </c>
      <c r="F96">
        <v>1142</v>
      </c>
      <c r="G96">
        <v>862</v>
      </c>
      <c r="H96">
        <v>76</v>
      </c>
      <c r="I96" t="s">
        <v>940</v>
      </c>
      <c r="J96">
        <v>5</v>
      </c>
      <c r="K96" t="s">
        <v>951</v>
      </c>
    </row>
    <row r="97" spans="1:11" x14ac:dyDescent="0.25">
      <c r="A97" t="s">
        <v>102</v>
      </c>
      <c r="B97" t="s">
        <v>935</v>
      </c>
      <c r="C97" s="3">
        <v>4445</v>
      </c>
      <c r="D97" s="3">
        <v>1057</v>
      </c>
      <c r="E97" s="3">
        <v>8130</v>
      </c>
      <c r="F97">
        <v>2701</v>
      </c>
      <c r="G97">
        <v>687</v>
      </c>
      <c r="H97">
        <v>68</v>
      </c>
      <c r="I97" t="s">
        <v>939</v>
      </c>
      <c r="J97">
        <v>8</v>
      </c>
      <c r="K97" t="s">
        <v>945</v>
      </c>
    </row>
    <row r="98" spans="1:11" x14ac:dyDescent="0.25">
      <c r="A98" t="s">
        <v>103</v>
      </c>
      <c r="B98" t="s">
        <v>937</v>
      </c>
      <c r="C98" s="3">
        <v>9641</v>
      </c>
      <c r="D98" s="3">
        <v>5703</v>
      </c>
      <c r="E98" s="3">
        <v>6431</v>
      </c>
      <c r="F98">
        <v>2313</v>
      </c>
      <c r="G98">
        <v>1625</v>
      </c>
      <c r="H98">
        <v>19</v>
      </c>
      <c r="I98" t="s">
        <v>938</v>
      </c>
      <c r="J98">
        <v>1</v>
      </c>
      <c r="K98" t="s">
        <v>943</v>
      </c>
    </row>
    <row r="99" spans="1:11" x14ac:dyDescent="0.25">
      <c r="A99" t="s">
        <v>104</v>
      </c>
      <c r="B99" t="s">
        <v>937</v>
      </c>
      <c r="C99" s="3">
        <v>2181</v>
      </c>
      <c r="D99" s="3">
        <v>-1299</v>
      </c>
      <c r="E99" s="3">
        <v>4058</v>
      </c>
      <c r="F99">
        <v>1506</v>
      </c>
      <c r="G99">
        <v>1974</v>
      </c>
      <c r="H99">
        <v>106</v>
      </c>
      <c r="I99" t="s">
        <v>940</v>
      </c>
      <c r="J99">
        <v>2</v>
      </c>
      <c r="K99" t="s">
        <v>951</v>
      </c>
    </row>
    <row r="100" spans="1:11" x14ac:dyDescent="0.25">
      <c r="A100" t="s">
        <v>105</v>
      </c>
      <c r="B100" t="s">
        <v>934</v>
      </c>
      <c r="C100" s="3">
        <v>5697</v>
      </c>
      <c r="D100" s="3">
        <v>2334</v>
      </c>
      <c r="E100" s="3">
        <v>6059</v>
      </c>
      <c r="F100">
        <v>2137</v>
      </c>
      <c r="G100">
        <v>1226</v>
      </c>
      <c r="H100">
        <v>91</v>
      </c>
      <c r="I100" t="s">
        <v>941</v>
      </c>
      <c r="J100">
        <v>6</v>
      </c>
      <c r="K100" t="s">
        <v>948</v>
      </c>
    </row>
    <row r="101" spans="1:11" x14ac:dyDescent="0.25">
      <c r="A101" t="s">
        <v>106</v>
      </c>
      <c r="B101" t="s">
        <v>935</v>
      </c>
      <c r="C101" s="3">
        <v>11134</v>
      </c>
      <c r="D101" s="3">
        <v>8249</v>
      </c>
      <c r="E101" s="3">
        <v>6833</v>
      </c>
      <c r="F101">
        <v>2609</v>
      </c>
      <c r="G101">
        <v>276</v>
      </c>
      <c r="H101">
        <v>67</v>
      </c>
      <c r="I101" t="s">
        <v>939</v>
      </c>
      <c r="J101">
        <v>6</v>
      </c>
      <c r="K101" t="s">
        <v>947</v>
      </c>
    </row>
    <row r="102" spans="1:11" x14ac:dyDescent="0.25">
      <c r="A102" t="s">
        <v>107</v>
      </c>
      <c r="B102" t="s">
        <v>937</v>
      </c>
      <c r="C102" s="3">
        <v>6087</v>
      </c>
      <c r="D102" s="3">
        <v>2483</v>
      </c>
      <c r="E102" s="3">
        <v>4186</v>
      </c>
      <c r="F102">
        <v>3274</v>
      </c>
      <c r="G102">
        <v>330</v>
      </c>
      <c r="H102">
        <v>53</v>
      </c>
      <c r="I102" t="s">
        <v>940</v>
      </c>
      <c r="J102">
        <v>1</v>
      </c>
      <c r="K102" t="s">
        <v>943</v>
      </c>
    </row>
    <row r="103" spans="1:11" x14ac:dyDescent="0.25">
      <c r="A103" t="s">
        <v>108</v>
      </c>
      <c r="B103" t="s">
        <v>936</v>
      </c>
      <c r="C103" s="3">
        <v>3550</v>
      </c>
      <c r="D103" s="3">
        <v>-2695</v>
      </c>
      <c r="E103" s="3">
        <v>9246</v>
      </c>
      <c r="F103">
        <v>4289</v>
      </c>
      <c r="G103">
        <v>1956</v>
      </c>
      <c r="H103">
        <v>69</v>
      </c>
      <c r="I103" t="s">
        <v>940</v>
      </c>
      <c r="J103">
        <v>10</v>
      </c>
      <c r="K103" t="s">
        <v>950</v>
      </c>
    </row>
    <row r="104" spans="1:11" x14ac:dyDescent="0.25">
      <c r="A104" t="s">
        <v>91</v>
      </c>
      <c r="B104" t="s">
        <v>934</v>
      </c>
      <c r="C104" s="3">
        <v>10855</v>
      </c>
      <c r="D104" s="3">
        <v>8065</v>
      </c>
      <c r="E104" s="3">
        <v>5049</v>
      </c>
      <c r="F104">
        <v>2300</v>
      </c>
      <c r="G104">
        <v>490</v>
      </c>
      <c r="H104">
        <v>85</v>
      </c>
      <c r="I104" t="s">
        <v>942</v>
      </c>
      <c r="J104">
        <v>5</v>
      </c>
      <c r="K104" t="s">
        <v>952</v>
      </c>
    </row>
    <row r="105" spans="1:11" x14ac:dyDescent="0.25">
      <c r="A105" t="s">
        <v>109</v>
      </c>
      <c r="B105" t="s">
        <v>934</v>
      </c>
      <c r="C105" s="3">
        <v>2264</v>
      </c>
      <c r="D105" s="3">
        <v>-2233</v>
      </c>
      <c r="E105" s="3">
        <v>8708</v>
      </c>
      <c r="F105">
        <v>2728</v>
      </c>
      <c r="G105">
        <v>1769</v>
      </c>
      <c r="H105">
        <v>33</v>
      </c>
      <c r="I105" t="s">
        <v>940</v>
      </c>
      <c r="J105">
        <v>2</v>
      </c>
      <c r="K105" t="s">
        <v>952</v>
      </c>
    </row>
    <row r="106" spans="1:11" x14ac:dyDescent="0.25">
      <c r="A106" t="s">
        <v>110</v>
      </c>
      <c r="B106" t="s">
        <v>935</v>
      </c>
      <c r="C106" s="3">
        <v>9634</v>
      </c>
      <c r="D106" s="3">
        <v>6569</v>
      </c>
      <c r="E106" s="3">
        <v>4285</v>
      </c>
      <c r="F106">
        <v>1217</v>
      </c>
      <c r="G106">
        <v>1848</v>
      </c>
      <c r="H106">
        <v>54</v>
      </c>
      <c r="I106" t="s">
        <v>942</v>
      </c>
      <c r="J106">
        <v>5</v>
      </c>
      <c r="K106" t="s">
        <v>945</v>
      </c>
    </row>
    <row r="107" spans="1:11" x14ac:dyDescent="0.25">
      <c r="A107" t="s">
        <v>111</v>
      </c>
      <c r="B107" t="s">
        <v>937</v>
      </c>
      <c r="C107" s="3">
        <v>4558</v>
      </c>
      <c r="D107" s="3">
        <v>357</v>
      </c>
      <c r="E107" s="3">
        <v>8114</v>
      </c>
      <c r="F107">
        <v>2886</v>
      </c>
      <c r="G107">
        <v>1315</v>
      </c>
      <c r="H107">
        <v>79</v>
      </c>
      <c r="I107" t="s">
        <v>941</v>
      </c>
      <c r="J107">
        <v>6</v>
      </c>
      <c r="K107" t="s">
        <v>952</v>
      </c>
    </row>
    <row r="108" spans="1:11" x14ac:dyDescent="0.25">
      <c r="A108" t="s">
        <v>112</v>
      </c>
      <c r="B108" t="s">
        <v>935</v>
      </c>
      <c r="C108" s="3">
        <v>9699</v>
      </c>
      <c r="D108" s="3">
        <v>3825</v>
      </c>
      <c r="E108" s="3">
        <v>9561</v>
      </c>
      <c r="F108">
        <v>4163</v>
      </c>
      <c r="G108">
        <v>1711</v>
      </c>
      <c r="H108">
        <v>117</v>
      </c>
      <c r="I108" t="s">
        <v>940</v>
      </c>
      <c r="J108">
        <v>6</v>
      </c>
      <c r="K108" t="s">
        <v>948</v>
      </c>
    </row>
    <row r="109" spans="1:11" x14ac:dyDescent="0.25">
      <c r="A109" t="s">
        <v>113</v>
      </c>
      <c r="B109" t="s">
        <v>935</v>
      </c>
      <c r="C109" s="3">
        <v>8458</v>
      </c>
      <c r="D109" s="3">
        <v>5338</v>
      </c>
      <c r="E109" s="3">
        <v>5346</v>
      </c>
      <c r="F109">
        <v>2182</v>
      </c>
      <c r="G109">
        <v>938</v>
      </c>
      <c r="H109">
        <v>52</v>
      </c>
      <c r="I109" t="s">
        <v>942</v>
      </c>
      <c r="J109">
        <v>1</v>
      </c>
      <c r="K109" t="s">
        <v>948</v>
      </c>
    </row>
    <row r="110" spans="1:11" x14ac:dyDescent="0.25">
      <c r="A110" t="s">
        <v>114</v>
      </c>
      <c r="B110" t="s">
        <v>936</v>
      </c>
      <c r="C110" s="3">
        <v>6773</v>
      </c>
      <c r="D110" s="3">
        <v>2242</v>
      </c>
      <c r="E110" s="3">
        <v>4997</v>
      </c>
      <c r="F110">
        <v>2538</v>
      </c>
      <c r="G110">
        <v>1993</v>
      </c>
      <c r="H110">
        <v>115</v>
      </c>
      <c r="I110" t="s">
        <v>940</v>
      </c>
      <c r="J110">
        <v>10</v>
      </c>
      <c r="K110" t="s">
        <v>946</v>
      </c>
    </row>
    <row r="111" spans="1:11" x14ac:dyDescent="0.25">
      <c r="A111" t="s">
        <v>115</v>
      </c>
      <c r="B111" t="s">
        <v>937</v>
      </c>
      <c r="C111" s="3">
        <v>5316</v>
      </c>
      <c r="D111" s="3">
        <v>347</v>
      </c>
      <c r="E111" s="3">
        <v>8555</v>
      </c>
      <c r="F111">
        <v>4165</v>
      </c>
      <c r="G111">
        <v>804</v>
      </c>
      <c r="H111">
        <v>78</v>
      </c>
      <c r="I111" t="s">
        <v>942</v>
      </c>
      <c r="J111">
        <v>4</v>
      </c>
      <c r="K111" t="s">
        <v>954</v>
      </c>
    </row>
    <row r="112" spans="1:11" x14ac:dyDescent="0.25">
      <c r="A112" t="s">
        <v>116</v>
      </c>
      <c r="B112" t="s">
        <v>937</v>
      </c>
      <c r="C112" s="3">
        <v>2771</v>
      </c>
      <c r="D112" s="3">
        <v>661</v>
      </c>
      <c r="E112" s="3">
        <v>9469</v>
      </c>
      <c r="F112">
        <v>1156</v>
      </c>
      <c r="G112">
        <v>954</v>
      </c>
      <c r="H112">
        <v>40</v>
      </c>
      <c r="I112" t="s">
        <v>940</v>
      </c>
      <c r="J112">
        <v>4</v>
      </c>
      <c r="K112" t="s">
        <v>948</v>
      </c>
    </row>
    <row r="113" spans="1:11" x14ac:dyDescent="0.25">
      <c r="A113" t="s">
        <v>117</v>
      </c>
      <c r="B113" t="s">
        <v>934</v>
      </c>
      <c r="C113" s="3">
        <v>9133</v>
      </c>
      <c r="D113" s="3">
        <v>3805</v>
      </c>
      <c r="E113" s="3">
        <v>8503</v>
      </c>
      <c r="F113">
        <v>4989</v>
      </c>
      <c r="G113">
        <v>339</v>
      </c>
      <c r="H113">
        <v>86</v>
      </c>
      <c r="I113" t="s">
        <v>939</v>
      </c>
      <c r="J113">
        <v>6</v>
      </c>
      <c r="K113" t="s">
        <v>954</v>
      </c>
    </row>
    <row r="114" spans="1:11" x14ac:dyDescent="0.25">
      <c r="A114" t="s">
        <v>118</v>
      </c>
      <c r="B114" t="s">
        <v>937</v>
      </c>
      <c r="C114" s="3">
        <v>7068</v>
      </c>
      <c r="D114" s="3">
        <v>2614</v>
      </c>
      <c r="E114" s="3">
        <v>8014</v>
      </c>
      <c r="F114">
        <v>3861</v>
      </c>
      <c r="G114">
        <v>593</v>
      </c>
      <c r="H114">
        <v>45</v>
      </c>
      <c r="I114" t="s">
        <v>938</v>
      </c>
      <c r="J114">
        <v>2</v>
      </c>
      <c r="K114" t="s">
        <v>943</v>
      </c>
    </row>
    <row r="115" spans="1:11" x14ac:dyDescent="0.25">
      <c r="A115" t="s">
        <v>119</v>
      </c>
      <c r="B115" t="s">
        <v>936</v>
      </c>
      <c r="C115" s="3">
        <v>11636</v>
      </c>
      <c r="D115" s="3">
        <v>7721</v>
      </c>
      <c r="E115" s="3">
        <v>8155</v>
      </c>
      <c r="F115">
        <v>2421</v>
      </c>
      <c r="G115">
        <v>1494</v>
      </c>
      <c r="H115">
        <v>38</v>
      </c>
      <c r="I115" t="s">
        <v>940</v>
      </c>
      <c r="J115">
        <v>1</v>
      </c>
      <c r="K115" t="s">
        <v>946</v>
      </c>
    </row>
    <row r="116" spans="1:11" x14ac:dyDescent="0.25">
      <c r="A116" t="s">
        <v>120</v>
      </c>
      <c r="B116" t="s">
        <v>936</v>
      </c>
      <c r="C116" s="3">
        <v>5339</v>
      </c>
      <c r="D116" s="3">
        <v>628</v>
      </c>
      <c r="E116" s="3">
        <v>8385</v>
      </c>
      <c r="F116">
        <v>2743</v>
      </c>
      <c r="G116">
        <v>1968</v>
      </c>
      <c r="H116">
        <v>107</v>
      </c>
      <c r="I116" t="s">
        <v>939</v>
      </c>
      <c r="J116">
        <v>1</v>
      </c>
      <c r="K116" t="s">
        <v>947</v>
      </c>
    </row>
    <row r="117" spans="1:11" x14ac:dyDescent="0.25">
      <c r="A117" t="s">
        <v>121</v>
      </c>
      <c r="B117" t="s">
        <v>936</v>
      </c>
      <c r="C117" s="3">
        <v>4623</v>
      </c>
      <c r="D117" s="3">
        <v>1918</v>
      </c>
      <c r="E117" s="3">
        <v>9688</v>
      </c>
      <c r="F117">
        <v>1601</v>
      </c>
      <c r="G117">
        <v>1104</v>
      </c>
      <c r="H117">
        <v>88</v>
      </c>
      <c r="I117" t="s">
        <v>941</v>
      </c>
      <c r="J117">
        <v>5</v>
      </c>
      <c r="K117" t="s">
        <v>954</v>
      </c>
    </row>
    <row r="118" spans="1:11" x14ac:dyDescent="0.25">
      <c r="A118" t="s">
        <v>122</v>
      </c>
      <c r="B118" t="s">
        <v>936</v>
      </c>
      <c r="C118" s="3">
        <v>9156</v>
      </c>
      <c r="D118" s="3">
        <v>3312</v>
      </c>
      <c r="E118" s="3">
        <v>5252</v>
      </c>
      <c r="F118">
        <v>4098</v>
      </c>
      <c r="G118">
        <v>1746</v>
      </c>
      <c r="H118">
        <v>70</v>
      </c>
      <c r="I118" t="s">
        <v>941</v>
      </c>
      <c r="J118">
        <v>1</v>
      </c>
      <c r="K118" t="s">
        <v>951</v>
      </c>
    </row>
    <row r="119" spans="1:11" x14ac:dyDescent="0.25">
      <c r="A119" t="s">
        <v>123</v>
      </c>
      <c r="B119" t="s">
        <v>936</v>
      </c>
      <c r="C119" s="3">
        <v>11404</v>
      </c>
      <c r="D119" s="3">
        <v>6178</v>
      </c>
      <c r="E119" s="3">
        <v>8036</v>
      </c>
      <c r="F119">
        <v>4500</v>
      </c>
      <c r="G119">
        <v>726</v>
      </c>
      <c r="H119">
        <v>57</v>
      </c>
      <c r="I119" t="s">
        <v>942</v>
      </c>
      <c r="J119">
        <v>3</v>
      </c>
      <c r="K119" t="s">
        <v>949</v>
      </c>
    </row>
    <row r="120" spans="1:11" x14ac:dyDescent="0.25">
      <c r="A120" t="s">
        <v>124</v>
      </c>
      <c r="B120" t="s">
        <v>936</v>
      </c>
      <c r="C120" s="3">
        <v>5096</v>
      </c>
      <c r="D120" s="3">
        <v>-457</v>
      </c>
      <c r="E120" s="3">
        <v>5007</v>
      </c>
      <c r="F120">
        <v>4899</v>
      </c>
      <c r="G120">
        <v>654</v>
      </c>
      <c r="H120">
        <v>85</v>
      </c>
      <c r="I120" t="s">
        <v>938</v>
      </c>
      <c r="J120">
        <v>7</v>
      </c>
      <c r="K120" t="s">
        <v>950</v>
      </c>
    </row>
    <row r="121" spans="1:11" x14ac:dyDescent="0.25">
      <c r="A121" t="s">
        <v>125</v>
      </c>
      <c r="B121" t="s">
        <v>934</v>
      </c>
      <c r="C121" s="3">
        <v>3519</v>
      </c>
      <c r="D121" s="3">
        <v>-43</v>
      </c>
      <c r="E121" s="3">
        <v>8266</v>
      </c>
      <c r="F121">
        <v>2171</v>
      </c>
      <c r="G121">
        <v>1391</v>
      </c>
      <c r="H121">
        <v>78</v>
      </c>
      <c r="I121" t="s">
        <v>939</v>
      </c>
      <c r="J121">
        <v>10</v>
      </c>
      <c r="K121" t="s">
        <v>954</v>
      </c>
    </row>
    <row r="122" spans="1:11" x14ac:dyDescent="0.25">
      <c r="A122" t="s">
        <v>126</v>
      </c>
      <c r="B122" t="s">
        <v>934</v>
      </c>
      <c r="C122" s="3">
        <v>3582</v>
      </c>
      <c r="D122" s="3">
        <v>612</v>
      </c>
      <c r="E122" s="3">
        <v>9442</v>
      </c>
      <c r="F122">
        <v>1022</v>
      </c>
      <c r="G122">
        <v>1948</v>
      </c>
      <c r="H122">
        <v>38</v>
      </c>
      <c r="I122" t="s">
        <v>938</v>
      </c>
      <c r="J122">
        <v>9</v>
      </c>
      <c r="K122" t="s">
        <v>947</v>
      </c>
    </row>
    <row r="123" spans="1:11" x14ac:dyDescent="0.25">
      <c r="A123" t="s">
        <v>127</v>
      </c>
      <c r="B123" t="s">
        <v>934</v>
      </c>
      <c r="C123" s="3">
        <v>11233</v>
      </c>
      <c r="D123" s="3">
        <v>7160</v>
      </c>
      <c r="E123" s="3">
        <v>5941</v>
      </c>
      <c r="F123">
        <v>2740</v>
      </c>
      <c r="G123">
        <v>1333</v>
      </c>
      <c r="H123">
        <v>75</v>
      </c>
      <c r="I123" t="s">
        <v>942</v>
      </c>
      <c r="J123">
        <v>2</v>
      </c>
      <c r="K123" t="s">
        <v>944</v>
      </c>
    </row>
    <row r="124" spans="1:11" x14ac:dyDescent="0.25">
      <c r="A124" t="s">
        <v>128</v>
      </c>
      <c r="B124" t="s">
        <v>935</v>
      </c>
      <c r="C124" s="3">
        <v>9214</v>
      </c>
      <c r="D124" s="3">
        <v>4131</v>
      </c>
      <c r="E124" s="3">
        <v>7478</v>
      </c>
      <c r="F124">
        <v>4027</v>
      </c>
      <c r="G124">
        <v>1056</v>
      </c>
      <c r="H124">
        <v>51</v>
      </c>
      <c r="I124" t="s">
        <v>939</v>
      </c>
      <c r="J124">
        <v>5</v>
      </c>
      <c r="K124" t="s">
        <v>945</v>
      </c>
    </row>
    <row r="125" spans="1:11" x14ac:dyDescent="0.25">
      <c r="A125" t="s">
        <v>129</v>
      </c>
      <c r="B125" t="s">
        <v>934</v>
      </c>
      <c r="C125" s="3">
        <v>6542</v>
      </c>
      <c r="D125" s="3">
        <v>466</v>
      </c>
      <c r="E125" s="3">
        <v>6401</v>
      </c>
      <c r="F125">
        <v>4248</v>
      </c>
      <c r="G125">
        <v>1828</v>
      </c>
      <c r="H125">
        <v>52</v>
      </c>
      <c r="I125" t="s">
        <v>940</v>
      </c>
      <c r="J125">
        <v>2</v>
      </c>
      <c r="K125" t="s">
        <v>947</v>
      </c>
    </row>
    <row r="126" spans="1:11" x14ac:dyDescent="0.25">
      <c r="A126" t="s">
        <v>130</v>
      </c>
      <c r="B126" t="s">
        <v>937</v>
      </c>
      <c r="C126" s="3">
        <v>3375</v>
      </c>
      <c r="D126" s="3">
        <v>-3168</v>
      </c>
      <c r="E126" s="3">
        <v>4554</v>
      </c>
      <c r="F126">
        <v>4952</v>
      </c>
      <c r="G126">
        <v>1591</v>
      </c>
      <c r="H126">
        <v>60</v>
      </c>
      <c r="I126" t="s">
        <v>941</v>
      </c>
      <c r="J126">
        <v>8</v>
      </c>
      <c r="K126" t="s">
        <v>943</v>
      </c>
    </row>
    <row r="127" spans="1:11" x14ac:dyDescent="0.25">
      <c r="A127" t="s">
        <v>131</v>
      </c>
      <c r="B127" t="s">
        <v>935</v>
      </c>
      <c r="C127" s="3">
        <v>3219</v>
      </c>
      <c r="D127" s="3">
        <v>777</v>
      </c>
      <c r="E127" s="3">
        <v>8229</v>
      </c>
      <c r="F127">
        <v>1391</v>
      </c>
      <c r="G127">
        <v>1051</v>
      </c>
      <c r="H127">
        <v>105</v>
      </c>
      <c r="I127" t="s">
        <v>938</v>
      </c>
      <c r="J127">
        <v>4</v>
      </c>
      <c r="K127" t="s">
        <v>949</v>
      </c>
    </row>
    <row r="128" spans="1:11" x14ac:dyDescent="0.25">
      <c r="A128" t="s">
        <v>132</v>
      </c>
      <c r="B128" t="s">
        <v>934</v>
      </c>
      <c r="C128" s="3">
        <v>10571</v>
      </c>
      <c r="D128" s="3">
        <v>8052</v>
      </c>
      <c r="E128" s="3">
        <v>5932</v>
      </c>
      <c r="F128">
        <v>2263</v>
      </c>
      <c r="G128">
        <v>256</v>
      </c>
      <c r="H128">
        <v>110</v>
      </c>
      <c r="I128" t="s">
        <v>940</v>
      </c>
      <c r="J128">
        <v>10</v>
      </c>
      <c r="K128" t="s">
        <v>953</v>
      </c>
    </row>
    <row r="129" spans="1:11" x14ac:dyDescent="0.25">
      <c r="A129" t="s">
        <v>133</v>
      </c>
      <c r="B129" t="s">
        <v>937</v>
      </c>
      <c r="C129" s="3">
        <v>8009</v>
      </c>
      <c r="D129" s="3">
        <v>1593</v>
      </c>
      <c r="E129" s="3">
        <v>7678</v>
      </c>
      <c r="F129">
        <v>4857</v>
      </c>
      <c r="G129">
        <v>1559</v>
      </c>
      <c r="H129">
        <v>32</v>
      </c>
      <c r="I129" t="s">
        <v>941</v>
      </c>
      <c r="J129">
        <v>6</v>
      </c>
      <c r="K129" t="s">
        <v>953</v>
      </c>
    </row>
    <row r="130" spans="1:11" x14ac:dyDescent="0.25">
      <c r="A130" t="s">
        <v>134</v>
      </c>
      <c r="B130" t="s">
        <v>937</v>
      </c>
      <c r="C130" s="3">
        <v>4443</v>
      </c>
      <c r="D130" s="3">
        <v>-1210</v>
      </c>
      <c r="E130" s="3">
        <v>7367</v>
      </c>
      <c r="F130">
        <v>4960</v>
      </c>
      <c r="G130">
        <v>693</v>
      </c>
      <c r="H130">
        <v>61</v>
      </c>
      <c r="I130" t="s">
        <v>941</v>
      </c>
      <c r="J130">
        <v>1</v>
      </c>
      <c r="K130" t="s">
        <v>953</v>
      </c>
    </row>
    <row r="131" spans="1:11" x14ac:dyDescent="0.25">
      <c r="A131" t="s">
        <v>135</v>
      </c>
      <c r="B131" t="s">
        <v>937</v>
      </c>
      <c r="C131" s="3">
        <v>10233</v>
      </c>
      <c r="D131" s="3">
        <v>6221</v>
      </c>
      <c r="E131" s="3">
        <v>5176</v>
      </c>
      <c r="F131">
        <v>2132</v>
      </c>
      <c r="G131">
        <v>1880</v>
      </c>
      <c r="H131">
        <v>109</v>
      </c>
      <c r="I131" t="s">
        <v>942</v>
      </c>
      <c r="J131">
        <v>6</v>
      </c>
      <c r="K131" t="s">
        <v>951</v>
      </c>
    </row>
    <row r="132" spans="1:11" x14ac:dyDescent="0.25">
      <c r="A132" t="s">
        <v>136</v>
      </c>
      <c r="B132" t="s">
        <v>934</v>
      </c>
      <c r="C132" s="3">
        <v>7131</v>
      </c>
      <c r="D132" s="3">
        <v>2511</v>
      </c>
      <c r="E132" s="3">
        <v>6299</v>
      </c>
      <c r="F132">
        <v>2878</v>
      </c>
      <c r="G132">
        <v>1742</v>
      </c>
      <c r="H132">
        <v>96</v>
      </c>
      <c r="I132" t="s">
        <v>942</v>
      </c>
      <c r="J132">
        <v>8</v>
      </c>
      <c r="K132" t="s">
        <v>949</v>
      </c>
    </row>
    <row r="133" spans="1:11" x14ac:dyDescent="0.25">
      <c r="A133" t="s">
        <v>130</v>
      </c>
      <c r="B133" t="s">
        <v>935</v>
      </c>
      <c r="C133" s="3">
        <v>5904</v>
      </c>
      <c r="D133" s="3">
        <v>4253</v>
      </c>
      <c r="E133" s="3">
        <v>5120</v>
      </c>
      <c r="F133">
        <v>1111</v>
      </c>
      <c r="G133">
        <v>540</v>
      </c>
      <c r="H133">
        <v>44</v>
      </c>
      <c r="I133" t="s">
        <v>942</v>
      </c>
      <c r="J133">
        <v>8</v>
      </c>
      <c r="K133" t="s">
        <v>943</v>
      </c>
    </row>
    <row r="134" spans="1:11" x14ac:dyDescent="0.25">
      <c r="A134" t="s">
        <v>137</v>
      </c>
      <c r="B134" t="s">
        <v>937</v>
      </c>
      <c r="C134" s="3">
        <v>8833</v>
      </c>
      <c r="D134" s="3">
        <v>6471</v>
      </c>
      <c r="E134" s="3">
        <v>8661</v>
      </c>
      <c r="F134">
        <v>895</v>
      </c>
      <c r="G134">
        <v>1467</v>
      </c>
      <c r="H134">
        <v>27</v>
      </c>
      <c r="I134" t="s">
        <v>940</v>
      </c>
      <c r="J134">
        <v>5</v>
      </c>
      <c r="K134" t="s">
        <v>954</v>
      </c>
    </row>
    <row r="135" spans="1:11" x14ac:dyDescent="0.25">
      <c r="A135" t="s">
        <v>138</v>
      </c>
      <c r="B135" t="s">
        <v>937</v>
      </c>
      <c r="C135" s="3">
        <v>11342</v>
      </c>
      <c r="D135" s="3">
        <v>6109</v>
      </c>
      <c r="E135" s="3">
        <v>4812</v>
      </c>
      <c r="F135">
        <v>3242</v>
      </c>
      <c r="G135">
        <v>1991</v>
      </c>
      <c r="H135">
        <v>51</v>
      </c>
      <c r="I135" t="s">
        <v>939</v>
      </c>
      <c r="J135">
        <v>7</v>
      </c>
      <c r="K135" t="s">
        <v>947</v>
      </c>
    </row>
    <row r="136" spans="1:11" x14ac:dyDescent="0.25">
      <c r="A136" t="s">
        <v>139</v>
      </c>
      <c r="B136" t="s">
        <v>934</v>
      </c>
      <c r="C136" s="3">
        <v>4362</v>
      </c>
      <c r="D136" s="3">
        <v>910</v>
      </c>
      <c r="E136" s="3">
        <v>6354</v>
      </c>
      <c r="F136">
        <v>2559</v>
      </c>
      <c r="G136">
        <v>893</v>
      </c>
      <c r="H136">
        <v>17</v>
      </c>
      <c r="I136" t="s">
        <v>939</v>
      </c>
      <c r="J136">
        <v>6</v>
      </c>
      <c r="K136" t="s">
        <v>945</v>
      </c>
    </row>
    <row r="137" spans="1:11" x14ac:dyDescent="0.25">
      <c r="A137" t="s">
        <v>140</v>
      </c>
      <c r="B137" t="s">
        <v>934</v>
      </c>
      <c r="C137" s="3">
        <v>5384</v>
      </c>
      <c r="D137" s="3">
        <v>1811</v>
      </c>
      <c r="E137" s="3">
        <v>7312</v>
      </c>
      <c r="F137">
        <v>3258</v>
      </c>
      <c r="G137">
        <v>315</v>
      </c>
      <c r="H137">
        <v>24</v>
      </c>
      <c r="I137" t="s">
        <v>938</v>
      </c>
      <c r="J137">
        <v>9</v>
      </c>
      <c r="K137" t="s">
        <v>949</v>
      </c>
    </row>
    <row r="138" spans="1:11" x14ac:dyDescent="0.25">
      <c r="A138" t="s">
        <v>141</v>
      </c>
      <c r="B138" t="s">
        <v>934</v>
      </c>
      <c r="C138" s="3">
        <v>10452</v>
      </c>
      <c r="D138" s="3">
        <v>5547</v>
      </c>
      <c r="E138" s="3">
        <v>5866</v>
      </c>
      <c r="F138">
        <v>3323</v>
      </c>
      <c r="G138">
        <v>1582</v>
      </c>
      <c r="H138">
        <v>44</v>
      </c>
      <c r="I138" t="s">
        <v>940</v>
      </c>
      <c r="J138">
        <v>2</v>
      </c>
      <c r="K138" t="s">
        <v>948</v>
      </c>
    </row>
    <row r="139" spans="1:11" x14ac:dyDescent="0.25">
      <c r="A139" t="s">
        <v>142</v>
      </c>
      <c r="B139" t="s">
        <v>937</v>
      </c>
      <c r="C139" s="3">
        <v>10775</v>
      </c>
      <c r="D139" s="3">
        <v>6371</v>
      </c>
      <c r="E139" s="3">
        <v>7672</v>
      </c>
      <c r="F139">
        <v>4117</v>
      </c>
      <c r="G139">
        <v>287</v>
      </c>
      <c r="H139">
        <v>12</v>
      </c>
      <c r="I139" t="s">
        <v>940</v>
      </c>
      <c r="J139">
        <v>3</v>
      </c>
      <c r="K139" t="s">
        <v>952</v>
      </c>
    </row>
    <row r="140" spans="1:11" x14ac:dyDescent="0.25">
      <c r="A140" t="s">
        <v>143</v>
      </c>
      <c r="B140" t="s">
        <v>937</v>
      </c>
      <c r="C140" s="3">
        <v>5410</v>
      </c>
      <c r="D140" s="3">
        <v>1634</v>
      </c>
      <c r="E140" s="3">
        <v>7979</v>
      </c>
      <c r="F140">
        <v>1818</v>
      </c>
      <c r="G140">
        <v>1958</v>
      </c>
      <c r="H140">
        <v>83</v>
      </c>
      <c r="I140" t="s">
        <v>939</v>
      </c>
      <c r="J140">
        <v>1</v>
      </c>
      <c r="K140" t="s">
        <v>946</v>
      </c>
    </row>
    <row r="141" spans="1:11" x14ac:dyDescent="0.25">
      <c r="A141" t="s">
        <v>144</v>
      </c>
      <c r="B141" t="s">
        <v>936</v>
      </c>
      <c r="C141" s="3">
        <v>8828</v>
      </c>
      <c r="D141" s="3">
        <v>3075</v>
      </c>
      <c r="E141" s="3">
        <v>5037</v>
      </c>
      <c r="F141">
        <v>4884</v>
      </c>
      <c r="G141">
        <v>869</v>
      </c>
      <c r="H141">
        <v>67</v>
      </c>
      <c r="I141" t="s">
        <v>938</v>
      </c>
      <c r="J141">
        <v>8</v>
      </c>
      <c r="K141" t="s">
        <v>945</v>
      </c>
    </row>
    <row r="142" spans="1:11" x14ac:dyDescent="0.25">
      <c r="A142" t="s">
        <v>145</v>
      </c>
      <c r="B142" t="s">
        <v>935</v>
      </c>
      <c r="C142" s="3">
        <v>10920</v>
      </c>
      <c r="D142" s="3">
        <v>6289</v>
      </c>
      <c r="E142" s="3">
        <v>6371</v>
      </c>
      <c r="F142">
        <v>3356</v>
      </c>
      <c r="G142">
        <v>1275</v>
      </c>
      <c r="H142">
        <v>25</v>
      </c>
      <c r="I142" t="s">
        <v>938</v>
      </c>
      <c r="J142">
        <v>5</v>
      </c>
      <c r="K142" t="s">
        <v>950</v>
      </c>
    </row>
    <row r="143" spans="1:11" x14ac:dyDescent="0.25">
      <c r="A143" t="s">
        <v>146</v>
      </c>
      <c r="B143" t="s">
        <v>936</v>
      </c>
      <c r="C143" s="3">
        <v>11136</v>
      </c>
      <c r="D143" s="3">
        <v>7507</v>
      </c>
      <c r="E143" s="3">
        <v>5766</v>
      </c>
      <c r="F143">
        <v>1749</v>
      </c>
      <c r="G143">
        <v>1880</v>
      </c>
      <c r="H143">
        <v>34</v>
      </c>
      <c r="I143" t="s">
        <v>942</v>
      </c>
      <c r="J143">
        <v>10</v>
      </c>
      <c r="K143" t="s">
        <v>953</v>
      </c>
    </row>
    <row r="144" spans="1:11" x14ac:dyDescent="0.25">
      <c r="A144" t="s">
        <v>147</v>
      </c>
      <c r="B144" t="s">
        <v>934</v>
      </c>
      <c r="C144" s="3">
        <v>6678</v>
      </c>
      <c r="D144" s="3">
        <v>1075</v>
      </c>
      <c r="E144" s="3">
        <v>9044</v>
      </c>
      <c r="F144">
        <v>4334</v>
      </c>
      <c r="G144">
        <v>1269</v>
      </c>
      <c r="H144">
        <v>101</v>
      </c>
      <c r="I144" t="s">
        <v>938</v>
      </c>
      <c r="J144">
        <v>8</v>
      </c>
      <c r="K144" t="s">
        <v>947</v>
      </c>
    </row>
    <row r="145" spans="1:11" x14ac:dyDescent="0.25">
      <c r="A145" t="s">
        <v>148</v>
      </c>
      <c r="B145" t="s">
        <v>935</v>
      </c>
      <c r="C145" s="3">
        <v>6125</v>
      </c>
      <c r="D145" s="3">
        <v>2636</v>
      </c>
      <c r="E145" s="3">
        <v>4186</v>
      </c>
      <c r="F145">
        <v>2528</v>
      </c>
      <c r="G145">
        <v>961</v>
      </c>
      <c r="H145">
        <v>27</v>
      </c>
      <c r="I145" t="s">
        <v>940</v>
      </c>
      <c r="J145">
        <v>4</v>
      </c>
      <c r="K145" t="s">
        <v>953</v>
      </c>
    </row>
    <row r="146" spans="1:11" x14ac:dyDescent="0.25">
      <c r="A146" t="s">
        <v>149</v>
      </c>
      <c r="B146" t="s">
        <v>937</v>
      </c>
      <c r="C146" s="3">
        <v>7620</v>
      </c>
      <c r="D146" s="3">
        <v>2815</v>
      </c>
      <c r="E146" s="3">
        <v>4761</v>
      </c>
      <c r="F146">
        <v>4445</v>
      </c>
      <c r="G146">
        <v>360</v>
      </c>
      <c r="H146">
        <v>52</v>
      </c>
      <c r="I146" t="s">
        <v>942</v>
      </c>
      <c r="J146">
        <v>1</v>
      </c>
      <c r="K146" t="s">
        <v>946</v>
      </c>
    </row>
    <row r="147" spans="1:11" x14ac:dyDescent="0.25">
      <c r="A147" t="s">
        <v>148</v>
      </c>
      <c r="B147" t="s">
        <v>936</v>
      </c>
      <c r="C147" s="3">
        <v>4339</v>
      </c>
      <c r="D147" s="3">
        <v>-883</v>
      </c>
      <c r="E147" s="3">
        <v>4762</v>
      </c>
      <c r="F147">
        <v>4008</v>
      </c>
      <c r="G147">
        <v>1214</v>
      </c>
      <c r="H147">
        <v>13</v>
      </c>
      <c r="I147" t="s">
        <v>941</v>
      </c>
      <c r="J147">
        <v>8</v>
      </c>
      <c r="K147" t="s">
        <v>953</v>
      </c>
    </row>
    <row r="148" spans="1:11" x14ac:dyDescent="0.25">
      <c r="A148" t="s">
        <v>150</v>
      </c>
      <c r="B148" t="s">
        <v>937</v>
      </c>
      <c r="C148" s="3">
        <v>11871</v>
      </c>
      <c r="D148" s="3">
        <v>5978</v>
      </c>
      <c r="E148" s="3">
        <v>4262</v>
      </c>
      <c r="F148">
        <v>4523</v>
      </c>
      <c r="G148">
        <v>1370</v>
      </c>
      <c r="H148">
        <v>50</v>
      </c>
      <c r="I148" t="s">
        <v>939</v>
      </c>
      <c r="J148">
        <v>4</v>
      </c>
      <c r="K148" t="s">
        <v>953</v>
      </c>
    </row>
    <row r="149" spans="1:11" x14ac:dyDescent="0.25">
      <c r="A149" t="s">
        <v>151</v>
      </c>
      <c r="B149" t="s">
        <v>935</v>
      </c>
      <c r="C149" s="3">
        <v>11680</v>
      </c>
      <c r="D149" s="3">
        <v>5632</v>
      </c>
      <c r="E149" s="3">
        <v>6285</v>
      </c>
      <c r="F149">
        <v>4902</v>
      </c>
      <c r="G149">
        <v>1146</v>
      </c>
      <c r="H149">
        <v>22</v>
      </c>
      <c r="I149" t="s">
        <v>938</v>
      </c>
      <c r="J149">
        <v>4</v>
      </c>
      <c r="K149" t="s">
        <v>952</v>
      </c>
    </row>
    <row r="150" spans="1:11" x14ac:dyDescent="0.25">
      <c r="A150" t="s">
        <v>152</v>
      </c>
      <c r="B150" t="s">
        <v>936</v>
      </c>
      <c r="C150" s="3">
        <v>2891</v>
      </c>
      <c r="D150" s="3">
        <v>-2564</v>
      </c>
      <c r="E150" s="3">
        <v>5807</v>
      </c>
      <c r="F150">
        <v>4979</v>
      </c>
      <c r="G150">
        <v>476</v>
      </c>
      <c r="H150">
        <v>115</v>
      </c>
      <c r="I150" t="s">
        <v>941</v>
      </c>
      <c r="J150">
        <v>8</v>
      </c>
      <c r="K150" t="s">
        <v>951</v>
      </c>
    </row>
    <row r="151" spans="1:11" x14ac:dyDescent="0.25">
      <c r="A151" t="s">
        <v>153</v>
      </c>
      <c r="B151" t="s">
        <v>934</v>
      </c>
      <c r="C151" s="3">
        <v>7687</v>
      </c>
      <c r="D151" s="3">
        <v>4657</v>
      </c>
      <c r="E151" s="3">
        <v>8576</v>
      </c>
      <c r="F151">
        <v>1225</v>
      </c>
      <c r="G151">
        <v>1805</v>
      </c>
      <c r="H151">
        <v>81</v>
      </c>
      <c r="I151" t="s">
        <v>940</v>
      </c>
      <c r="J151">
        <v>8</v>
      </c>
      <c r="K151" t="s">
        <v>952</v>
      </c>
    </row>
    <row r="152" spans="1:11" x14ac:dyDescent="0.25">
      <c r="A152" t="s">
        <v>154</v>
      </c>
      <c r="B152" t="s">
        <v>936</v>
      </c>
      <c r="C152" s="3">
        <v>6435</v>
      </c>
      <c r="D152" s="3">
        <v>475</v>
      </c>
      <c r="E152" s="3">
        <v>4861</v>
      </c>
      <c r="F152">
        <v>4528</v>
      </c>
      <c r="G152">
        <v>1432</v>
      </c>
      <c r="H152">
        <v>59</v>
      </c>
      <c r="I152" t="s">
        <v>938</v>
      </c>
      <c r="J152">
        <v>1</v>
      </c>
      <c r="K152" t="s">
        <v>946</v>
      </c>
    </row>
    <row r="153" spans="1:11" x14ac:dyDescent="0.25">
      <c r="A153" t="s">
        <v>155</v>
      </c>
      <c r="B153" t="s">
        <v>936</v>
      </c>
      <c r="C153" s="3">
        <v>5226</v>
      </c>
      <c r="D153" s="3">
        <v>807</v>
      </c>
      <c r="E153" s="3">
        <v>4126</v>
      </c>
      <c r="F153">
        <v>2740</v>
      </c>
      <c r="G153">
        <v>1679</v>
      </c>
      <c r="H153">
        <v>41</v>
      </c>
      <c r="I153" t="s">
        <v>938</v>
      </c>
      <c r="J153">
        <v>10</v>
      </c>
      <c r="K153" t="s">
        <v>954</v>
      </c>
    </row>
    <row r="154" spans="1:11" x14ac:dyDescent="0.25">
      <c r="A154" t="s">
        <v>156</v>
      </c>
      <c r="B154" t="s">
        <v>937</v>
      </c>
      <c r="C154" s="3">
        <v>8804</v>
      </c>
      <c r="D154" s="3">
        <v>6775</v>
      </c>
      <c r="E154" s="3">
        <v>7269</v>
      </c>
      <c r="F154">
        <v>1535</v>
      </c>
      <c r="G154">
        <v>494</v>
      </c>
      <c r="H154">
        <v>40</v>
      </c>
      <c r="I154" t="s">
        <v>940</v>
      </c>
      <c r="J154">
        <v>6</v>
      </c>
      <c r="K154" t="s">
        <v>946</v>
      </c>
    </row>
    <row r="155" spans="1:11" x14ac:dyDescent="0.25">
      <c r="A155" t="s">
        <v>157</v>
      </c>
      <c r="B155" t="s">
        <v>936</v>
      </c>
      <c r="C155" s="3">
        <v>4396</v>
      </c>
      <c r="D155" s="3">
        <v>-1114</v>
      </c>
      <c r="E155" s="3">
        <v>9952</v>
      </c>
      <c r="F155">
        <v>3919</v>
      </c>
      <c r="G155">
        <v>1591</v>
      </c>
      <c r="H155">
        <v>112</v>
      </c>
      <c r="I155" t="s">
        <v>940</v>
      </c>
      <c r="J155">
        <v>5</v>
      </c>
      <c r="K155" t="s">
        <v>944</v>
      </c>
    </row>
    <row r="156" spans="1:11" x14ac:dyDescent="0.25">
      <c r="A156" t="s">
        <v>158</v>
      </c>
      <c r="B156" t="s">
        <v>936</v>
      </c>
      <c r="C156" s="3">
        <v>7474</v>
      </c>
      <c r="D156" s="3">
        <v>3879</v>
      </c>
      <c r="E156" s="3">
        <v>4156</v>
      </c>
      <c r="F156">
        <v>1962</v>
      </c>
      <c r="G156">
        <v>1633</v>
      </c>
      <c r="H156">
        <v>11</v>
      </c>
      <c r="I156" t="s">
        <v>942</v>
      </c>
      <c r="J156">
        <v>9</v>
      </c>
      <c r="K156" t="s">
        <v>953</v>
      </c>
    </row>
    <row r="157" spans="1:11" x14ac:dyDescent="0.25">
      <c r="A157" t="s">
        <v>159</v>
      </c>
      <c r="B157" t="s">
        <v>937</v>
      </c>
      <c r="C157" s="3">
        <v>11378</v>
      </c>
      <c r="D157" s="3">
        <v>6764</v>
      </c>
      <c r="E157" s="3">
        <v>6748</v>
      </c>
      <c r="F157">
        <v>3091</v>
      </c>
      <c r="G157">
        <v>1523</v>
      </c>
      <c r="H157">
        <v>48</v>
      </c>
      <c r="I157" t="s">
        <v>942</v>
      </c>
      <c r="J157">
        <v>7</v>
      </c>
      <c r="K157" t="s">
        <v>947</v>
      </c>
    </row>
    <row r="158" spans="1:11" x14ac:dyDescent="0.25">
      <c r="A158" t="s">
        <v>160</v>
      </c>
      <c r="B158" t="s">
        <v>937</v>
      </c>
      <c r="C158" s="3">
        <v>4189</v>
      </c>
      <c r="D158" s="3">
        <v>-2033</v>
      </c>
      <c r="E158" s="3">
        <v>5317</v>
      </c>
      <c r="F158">
        <v>4847</v>
      </c>
      <c r="G158">
        <v>1375</v>
      </c>
      <c r="H158">
        <v>87</v>
      </c>
      <c r="I158" t="s">
        <v>941</v>
      </c>
      <c r="J158">
        <v>6</v>
      </c>
      <c r="K158" t="s">
        <v>948</v>
      </c>
    </row>
    <row r="159" spans="1:11" x14ac:dyDescent="0.25">
      <c r="A159" t="s">
        <v>161</v>
      </c>
      <c r="B159" t="s">
        <v>934</v>
      </c>
      <c r="C159" s="3">
        <v>11173</v>
      </c>
      <c r="D159" s="3">
        <v>6346</v>
      </c>
      <c r="E159" s="3">
        <v>4449</v>
      </c>
      <c r="F159">
        <v>4144</v>
      </c>
      <c r="G159">
        <v>683</v>
      </c>
      <c r="H159">
        <v>60</v>
      </c>
      <c r="I159" t="s">
        <v>938</v>
      </c>
      <c r="J159">
        <v>2</v>
      </c>
      <c r="K159" t="s">
        <v>953</v>
      </c>
    </row>
    <row r="160" spans="1:11" x14ac:dyDescent="0.25">
      <c r="A160" t="s">
        <v>162</v>
      </c>
      <c r="B160" t="s">
        <v>936</v>
      </c>
      <c r="C160" s="3">
        <v>11589</v>
      </c>
      <c r="D160" s="3">
        <v>6684</v>
      </c>
      <c r="E160" s="3">
        <v>7823</v>
      </c>
      <c r="F160">
        <v>4260</v>
      </c>
      <c r="G160">
        <v>645</v>
      </c>
      <c r="H160">
        <v>66</v>
      </c>
      <c r="I160" t="s">
        <v>941</v>
      </c>
      <c r="J160">
        <v>1</v>
      </c>
      <c r="K160" t="s">
        <v>952</v>
      </c>
    </row>
    <row r="161" spans="1:11" x14ac:dyDescent="0.25">
      <c r="A161" t="s">
        <v>163</v>
      </c>
      <c r="B161" t="s">
        <v>937</v>
      </c>
      <c r="C161" s="3">
        <v>11184</v>
      </c>
      <c r="D161" s="3">
        <v>9661</v>
      </c>
      <c r="E161" s="3">
        <v>8422</v>
      </c>
      <c r="F161">
        <v>1205</v>
      </c>
      <c r="G161">
        <v>318</v>
      </c>
      <c r="H161">
        <v>34</v>
      </c>
      <c r="I161" t="s">
        <v>939</v>
      </c>
      <c r="J161">
        <v>6</v>
      </c>
      <c r="K161" t="s">
        <v>949</v>
      </c>
    </row>
    <row r="162" spans="1:11" x14ac:dyDescent="0.25">
      <c r="A162" t="s">
        <v>164</v>
      </c>
      <c r="B162" t="s">
        <v>937</v>
      </c>
      <c r="C162" s="3">
        <v>6029</v>
      </c>
      <c r="D162" s="3">
        <v>623</v>
      </c>
      <c r="E162" s="3">
        <v>9170</v>
      </c>
      <c r="F162">
        <v>3544</v>
      </c>
      <c r="G162">
        <v>1862</v>
      </c>
      <c r="H162">
        <v>99</v>
      </c>
      <c r="I162" t="s">
        <v>941</v>
      </c>
      <c r="J162">
        <v>9</v>
      </c>
      <c r="K162" t="s">
        <v>946</v>
      </c>
    </row>
    <row r="163" spans="1:11" x14ac:dyDescent="0.25">
      <c r="A163" t="s">
        <v>13</v>
      </c>
      <c r="B163" t="s">
        <v>937</v>
      </c>
      <c r="C163" s="3">
        <v>10142</v>
      </c>
      <c r="D163" s="3">
        <v>3799</v>
      </c>
      <c r="E163" s="3">
        <v>9904</v>
      </c>
      <c r="F163">
        <v>4735</v>
      </c>
      <c r="G163">
        <v>1608</v>
      </c>
      <c r="H163">
        <v>116</v>
      </c>
      <c r="I163" t="s">
        <v>939</v>
      </c>
      <c r="J163">
        <v>7</v>
      </c>
      <c r="K163" t="s">
        <v>945</v>
      </c>
    </row>
    <row r="164" spans="1:11" x14ac:dyDescent="0.25">
      <c r="A164" t="s">
        <v>165</v>
      </c>
      <c r="B164" t="s">
        <v>935</v>
      </c>
      <c r="C164" s="3">
        <v>3210</v>
      </c>
      <c r="D164" s="3">
        <v>-2557</v>
      </c>
      <c r="E164" s="3">
        <v>5891</v>
      </c>
      <c r="F164">
        <v>4623</v>
      </c>
      <c r="G164">
        <v>1144</v>
      </c>
      <c r="H164">
        <v>91</v>
      </c>
      <c r="I164" t="s">
        <v>938</v>
      </c>
      <c r="J164">
        <v>3</v>
      </c>
      <c r="K164" t="s">
        <v>943</v>
      </c>
    </row>
    <row r="165" spans="1:11" x14ac:dyDescent="0.25">
      <c r="A165" t="s">
        <v>166</v>
      </c>
      <c r="B165" t="s">
        <v>937</v>
      </c>
      <c r="C165" s="3">
        <v>9030</v>
      </c>
      <c r="D165" s="3">
        <v>5146</v>
      </c>
      <c r="E165" s="3">
        <v>6370</v>
      </c>
      <c r="F165">
        <v>2822</v>
      </c>
      <c r="G165">
        <v>1062</v>
      </c>
      <c r="H165">
        <v>86</v>
      </c>
      <c r="I165" t="s">
        <v>939</v>
      </c>
      <c r="J165">
        <v>2</v>
      </c>
      <c r="K165" t="s">
        <v>951</v>
      </c>
    </row>
    <row r="166" spans="1:11" x14ac:dyDescent="0.25">
      <c r="A166" t="s">
        <v>167</v>
      </c>
      <c r="B166" t="s">
        <v>936</v>
      </c>
      <c r="C166" s="3">
        <v>5506</v>
      </c>
      <c r="D166" s="3">
        <v>83</v>
      </c>
      <c r="E166" s="3">
        <v>8328</v>
      </c>
      <c r="F166">
        <v>4453</v>
      </c>
      <c r="G166">
        <v>970</v>
      </c>
      <c r="H166">
        <v>44</v>
      </c>
      <c r="I166" t="s">
        <v>941</v>
      </c>
      <c r="J166">
        <v>8</v>
      </c>
      <c r="K166" t="s">
        <v>943</v>
      </c>
    </row>
    <row r="167" spans="1:11" x14ac:dyDescent="0.25">
      <c r="A167" t="s">
        <v>121</v>
      </c>
      <c r="B167" t="s">
        <v>936</v>
      </c>
      <c r="C167" s="3">
        <v>7666</v>
      </c>
      <c r="D167" s="3">
        <v>2478</v>
      </c>
      <c r="E167" s="3">
        <v>8990</v>
      </c>
      <c r="F167">
        <v>4191</v>
      </c>
      <c r="G167">
        <v>997</v>
      </c>
      <c r="H167">
        <v>91</v>
      </c>
      <c r="I167" t="s">
        <v>941</v>
      </c>
      <c r="J167">
        <v>7</v>
      </c>
      <c r="K167" t="s">
        <v>954</v>
      </c>
    </row>
    <row r="168" spans="1:11" x14ac:dyDescent="0.25">
      <c r="A168" t="s">
        <v>168</v>
      </c>
      <c r="B168" t="s">
        <v>934</v>
      </c>
      <c r="C168" s="3">
        <v>9781</v>
      </c>
      <c r="D168" s="3">
        <v>3657</v>
      </c>
      <c r="E168" s="3">
        <v>4960</v>
      </c>
      <c r="F168">
        <v>4978</v>
      </c>
      <c r="G168">
        <v>1146</v>
      </c>
      <c r="H168">
        <v>54</v>
      </c>
      <c r="I168" t="s">
        <v>940</v>
      </c>
      <c r="J168">
        <v>5</v>
      </c>
      <c r="K168" t="s">
        <v>944</v>
      </c>
    </row>
    <row r="169" spans="1:11" x14ac:dyDescent="0.25">
      <c r="A169" t="s">
        <v>169</v>
      </c>
      <c r="B169" t="s">
        <v>937</v>
      </c>
      <c r="C169" s="3">
        <v>5546</v>
      </c>
      <c r="D169" s="3">
        <v>579</v>
      </c>
      <c r="E169" s="3">
        <v>9949</v>
      </c>
      <c r="F169">
        <v>4011</v>
      </c>
      <c r="G169">
        <v>956</v>
      </c>
      <c r="H169">
        <v>51</v>
      </c>
      <c r="I169" t="s">
        <v>941</v>
      </c>
      <c r="J169">
        <v>1</v>
      </c>
      <c r="K169" t="s">
        <v>952</v>
      </c>
    </row>
    <row r="170" spans="1:11" x14ac:dyDescent="0.25">
      <c r="A170" t="s">
        <v>170</v>
      </c>
      <c r="B170" t="s">
        <v>936</v>
      </c>
      <c r="C170" s="3">
        <v>2173</v>
      </c>
      <c r="D170" s="3">
        <v>-1959</v>
      </c>
      <c r="E170" s="3">
        <v>8744</v>
      </c>
      <c r="F170">
        <v>2958</v>
      </c>
      <c r="G170">
        <v>1174</v>
      </c>
      <c r="H170">
        <v>99</v>
      </c>
      <c r="I170" t="s">
        <v>938</v>
      </c>
      <c r="J170">
        <v>5</v>
      </c>
      <c r="K170" t="s">
        <v>947</v>
      </c>
    </row>
    <row r="171" spans="1:11" x14ac:dyDescent="0.25">
      <c r="A171" t="s">
        <v>171</v>
      </c>
      <c r="B171" t="s">
        <v>936</v>
      </c>
      <c r="C171" s="3">
        <v>8043</v>
      </c>
      <c r="D171" s="3">
        <v>2295</v>
      </c>
      <c r="E171" s="3">
        <v>5134</v>
      </c>
      <c r="F171">
        <v>3975</v>
      </c>
      <c r="G171">
        <v>1773</v>
      </c>
      <c r="H171">
        <v>28</v>
      </c>
      <c r="I171" t="s">
        <v>942</v>
      </c>
      <c r="J171">
        <v>5</v>
      </c>
      <c r="K171" t="s">
        <v>943</v>
      </c>
    </row>
    <row r="172" spans="1:11" x14ac:dyDescent="0.25">
      <c r="A172" t="s">
        <v>172</v>
      </c>
      <c r="B172" t="s">
        <v>935</v>
      </c>
      <c r="C172" s="3">
        <v>9942</v>
      </c>
      <c r="D172" s="3">
        <v>4938</v>
      </c>
      <c r="E172" s="3">
        <v>6567</v>
      </c>
      <c r="F172">
        <v>3020</v>
      </c>
      <c r="G172">
        <v>1984</v>
      </c>
      <c r="H172">
        <v>79</v>
      </c>
      <c r="I172" t="s">
        <v>940</v>
      </c>
      <c r="J172">
        <v>10</v>
      </c>
      <c r="K172" t="s">
        <v>954</v>
      </c>
    </row>
    <row r="173" spans="1:11" x14ac:dyDescent="0.25">
      <c r="A173" t="s">
        <v>173</v>
      </c>
      <c r="B173" t="s">
        <v>936</v>
      </c>
      <c r="C173" s="3">
        <v>5626</v>
      </c>
      <c r="D173" s="3">
        <v>901</v>
      </c>
      <c r="E173" s="3">
        <v>4749</v>
      </c>
      <c r="F173">
        <v>3939</v>
      </c>
      <c r="G173">
        <v>786</v>
      </c>
      <c r="H173">
        <v>107</v>
      </c>
      <c r="I173" t="s">
        <v>938</v>
      </c>
      <c r="J173">
        <v>1</v>
      </c>
      <c r="K173" t="s">
        <v>943</v>
      </c>
    </row>
    <row r="174" spans="1:11" x14ac:dyDescent="0.25">
      <c r="A174" t="s">
        <v>174</v>
      </c>
      <c r="B174" t="s">
        <v>936</v>
      </c>
      <c r="C174" s="3">
        <v>11709</v>
      </c>
      <c r="D174" s="3">
        <v>7665</v>
      </c>
      <c r="E174" s="3">
        <v>7945</v>
      </c>
      <c r="F174">
        <v>3817</v>
      </c>
      <c r="G174">
        <v>227</v>
      </c>
      <c r="H174">
        <v>80</v>
      </c>
      <c r="I174" t="s">
        <v>940</v>
      </c>
      <c r="J174">
        <v>4</v>
      </c>
      <c r="K174" t="s">
        <v>954</v>
      </c>
    </row>
    <row r="175" spans="1:11" x14ac:dyDescent="0.25">
      <c r="A175" t="s">
        <v>175</v>
      </c>
      <c r="B175" t="s">
        <v>935</v>
      </c>
      <c r="C175" s="3">
        <v>7732</v>
      </c>
      <c r="D175" s="3">
        <v>6317</v>
      </c>
      <c r="E175" s="3">
        <v>7386</v>
      </c>
      <c r="F175">
        <v>919</v>
      </c>
      <c r="G175">
        <v>496</v>
      </c>
      <c r="H175">
        <v>96</v>
      </c>
      <c r="I175" t="s">
        <v>939</v>
      </c>
      <c r="J175">
        <v>8</v>
      </c>
      <c r="K175" t="s">
        <v>950</v>
      </c>
    </row>
    <row r="176" spans="1:11" x14ac:dyDescent="0.25">
      <c r="A176" t="s">
        <v>176</v>
      </c>
      <c r="B176" t="s">
        <v>937</v>
      </c>
      <c r="C176" s="3">
        <v>5899</v>
      </c>
      <c r="D176" s="3">
        <v>4277</v>
      </c>
      <c r="E176" s="3">
        <v>9344</v>
      </c>
      <c r="F176">
        <v>1046</v>
      </c>
      <c r="G176">
        <v>576</v>
      </c>
      <c r="H176">
        <v>97</v>
      </c>
      <c r="I176" t="s">
        <v>942</v>
      </c>
      <c r="J176">
        <v>4</v>
      </c>
      <c r="K176" t="s">
        <v>947</v>
      </c>
    </row>
    <row r="177" spans="1:11" x14ac:dyDescent="0.25">
      <c r="A177" t="s">
        <v>177</v>
      </c>
      <c r="B177" t="s">
        <v>934</v>
      </c>
      <c r="C177" s="3">
        <v>8392</v>
      </c>
      <c r="D177" s="3">
        <v>3712</v>
      </c>
      <c r="E177" s="3">
        <v>7092</v>
      </c>
      <c r="F177">
        <v>3673</v>
      </c>
      <c r="G177">
        <v>1007</v>
      </c>
      <c r="H177">
        <v>60</v>
      </c>
      <c r="I177" t="s">
        <v>942</v>
      </c>
      <c r="J177">
        <v>3</v>
      </c>
      <c r="K177" t="s">
        <v>954</v>
      </c>
    </row>
    <row r="178" spans="1:11" x14ac:dyDescent="0.25">
      <c r="A178" t="s">
        <v>178</v>
      </c>
      <c r="B178" t="s">
        <v>937</v>
      </c>
      <c r="C178" s="3">
        <v>8992</v>
      </c>
      <c r="D178" s="3">
        <v>3170</v>
      </c>
      <c r="E178" s="3">
        <v>5800</v>
      </c>
      <c r="F178">
        <v>4256</v>
      </c>
      <c r="G178">
        <v>1566</v>
      </c>
      <c r="H178">
        <v>14</v>
      </c>
      <c r="I178" t="s">
        <v>938</v>
      </c>
      <c r="J178">
        <v>4</v>
      </c>
      <c r="K178" t="s">
        <v>953</v>
      </c>
    </row>
    <row r="179" spans="1:11" x14ac:dyDescent="0.25">
      <c r="A179" t="s">
        <v>179</v>
      </c>
      <c r="B179" t="s">
        <v>935</v>
      </c>
      <c r="C179" s="3">
        <v>5765</v>
      </c>
      <c r="D179" s="3">
        <v>1950</v>
      </c>
      <c r="E179" s="3">
        <v>6255</v>
      </c>
      <c r="F179">
        <v>2125</v>
      </c>
      <c r="G179">
        <v>1690</v>
      </c>
      <c r="H179">
        <v>15</v>
      </c>
      <c r="I179" t="s">
        <v>938</v>
      </c>
      <c r="J179">
        <v>8</v>
      </c>
      <c r="K179" t="s">
        <v>944</v>
      </c>
    </row>
    <row r="180" spans="1:11" x14ac:dyDescent="0.25">
      <c r="A180" t="s">
        <v>180</v>
      </c>
      <c r="B180" t="s">
        <v>935</v>
      </c>
      <c r="C180" s="3">
        <v>10349</v>
      </c>
      <c r="D180" s="3">
        <v>7213</v>
      </c>
      <c r="E180" s="3">
        <v>7659</v>
      </c>
      <c r="F180">
        <v>2504</v>
      </c>
      <c r="G180">
        <v>632</v>
      </c>
      <c r="H180">
        <v>13</v>
      </c>
      <c r="I180" t="s">
        <v>940</v>
      </c>
      <c r="J180">
        <v>9</v>
      </c>
      <c r="K180" t="s">
        <v>952</v>
      </c>
    </row>
    <row r="181" spans="1:11" x14ac:dyDescent="0.25">
      <c r="A181" t="s">
        <v>181</v>
      </c>
      <c r="B181" t="s">
        <v>936</v>
      </c>
      <c r="C181" s="3">
        <v>11478</v>
      </c>
      <c r="D181" s="3">
        <v>6598</v>
      </c>
      <c r="E181" s="3">
        <v>5075</v>
      </c>
      <c r="F181">
        <v>3653</v>
      </c>
      <c r="G181">
        <v>1227</v>
      </c>
      <c r="H181">
        <v>107</v>
      </c>
      <c r="I181" t="s">
        <v>940</v>
      </c>
      <c r="J181">
        <v>8</v>
      </c>
      <c r="K181" t="s">
        <v>946</v>
      </c>
    </row>
    <row r="182" spans="1:11" x14ac:dyDescent="0.25">
      <c r="A182" t="s">
        <v>182</v>
      </c>
      <c r="B182" t="s">
        <v>934</v>
      </c>
      <c r="C182" s="3">
        <v>11166</v>
      </c>
      <c r="D182" s="3">
        <v>9206</v>
      </c>
      <c r="E182" s="3">
        <v>4161</v>
      </c>
      <c r="F182">
        <v>1400</v>
      </c>
      <c r="G182">
        <v>560</v>
      </c>
      <c r="H182">
        <v>102</v>
      </c>
      <c r="I182" t="s">
        <v>942</v>
      </c>
      <c r="J182">
        <v>5</v>
      </c>
      <c r="K182" t="s">
        <v>953</v>
      </c>
    </row>
    <row r="183" spans="1:11" x14ac:dyDescent="0.25">
      <c r="A183" t="s">
        <v>183</v>
      </c>
      <c r="B183" t="s">
        <v>936</v>
      </c>
      <c r="C183" s="3">
        <v>4294</v>
      </c>
      <c r="D183" s="3">
        <v>204</v>
      </c>
      <c r="E183" s="3">
        <v>4252</v>
      </c>
      <c r="F183">
        <v>3713</v>
      </c>
      <c r="G183">
        <v>377</v>
      </c>
      <c r="H183">
        <v>72</v>
      </c>
      <c r="I183" t="s">
        <v>938</v>
      </c>
      <c r="J183">
        <v>1</v>
      </c>
      <c r="K183" t="s">
        <v>952</v>
      </c>
    </row>
    <row r="184" spans="1:11" x14ac:dyDescent="0.25">
      <c r="A184" t="s">
        <v>184</v>
      </c>
      <c r="B184" t="s">
        <v>936</v>
      </c>
      <c r="C184" s="3">
        <v>9265</v>
      </c>
      <c r="D184" s="3">
        <v>6271</v>
      </c>
      <c r="E184" s="3">
        <v>9521</v>
      </c>
      <c r="F184">
        <v>1546</v>
      </c>
      <c r="G184">
        <v>1448</v>
      </c>
      <c r="H184">
        <v>31</v>
      </c>
      <c r="I184" t="s">
        <v>942</v>
      </c>
      <c r="J184">
        <v>7</v>
      </c>
      <c r="K184" t="s">
        <v>950</v>
      </c>
    </row>
    <row r="185" spans="1:11" x14ac:dyDescent="0.25">
      <c r="A185" t="s">
        <v>185</v>
      </c>
      <c r="B185" t="s">
        <v>937</v>
      </c>
      <c r="C185" s="3">
        <v>11738</v>
      </c>
      <c r="D185" s="3">
        <v>8958</v>
      </c>
      <c r="E185" s="3">
        <v>4980</v>
      </c>
      <c r="F185">
        <v>2498</v>
      </c>
      <c r="G185">
        <v>282</v>
      </c>
      <c r="H185">
        <v>86</v>
      </c>
      <c r="I185" t="s">
        <v>942</v>
      </c>
      <c r="J185">
        <v>9</v>
      </c>
      <c r="K185" t="s">
        <v>952</v>
      </c>
    </row>
    <row r="186" spans="1:11" x14ac:dyDescent="0.25">
      <c r="A186" t="s">
        <v>186</v>
      </c>
      <c r="B186" t="s">
        <v>937</v>
      </c>
      <c r="C186" s="3">
        <v>10213</v>
      </c>
      <c r="D186" s="3">
        <v>7564</v>
      </c>
      <c r="E186" s="3">
        <v>8172</v>
      </c>
      <c r="F186">
        <v>1534</v>
      </c>
      <c r="G186">
        <v>1115</v>
      </c>
      <c r="H186">
        <v>46</v>
      </c>
      <c r="I186" t="s">
        <v>941</v>
      </c>
      <c r="J186">
        <v>2</v>
      </c>
      <c r="K186" t="s">
        <v>954</v>
      </c>
    </row>
    <row r="187" spans="1:11" x14ac:dyDescent="0.25">
      <c r="A187" t="s">
        <v>187</v>
      </c>
      <c r="B187" t="s">
        <v>936</v>
      </c>
      <c r="C187" s="3">
        <v>2669</v>
      </c>
      <c r="D187" s="3">
        <v>-1459</v>
      </c>
      <c r="E187" s="3">
        <v>4392</v>
      </c>
      <c r="F187">
        <v>2938</v>
      </c>
      <c r="G187">
        <v>1190</v>
      </c>
      <c r="H187">
        <v>32</v>
      </c>
      <c r="I187" t="s">
        <v>941</v>
      </c>
      <c r="J187">
        <v>7</v>
      </c>
      <c r="K187" t="s">
        <v>948</v>
      </c>
    </row>
    <row r="188" spans="1:11" x14ac:dyDescent="0.25">
      <c r="A188" t="s">
        <v>188</v>
      </c>
      <c r="B188" t="s">
        <v>937</v>
      </c>
      <c r="C188" s="3">
        <v>8992</v>
      </c>
      <c r="D188" s="3">
        <v>5180</v>
      </c>
      <c r="E188" s="3">
        <v>8380</v>
      </c>
      <c r="F188">
        <v>2961</v>
      </c>
      <c r="G188">
        <v>851</v>
      </c>
      <c r="H188">
        <v>35</v>
      </c>
      <c r="I188" t="s">
        <v>940</v>
      </c>
      <c r="J188">
        <v>1</v>
      </c>
      <c r="K188" t="s">
        <v>947</v>
      </c>
    </row>
    <row r="189" spans="1:11" x14ac:dyDescent="0.25">
      <c r="A189" t="s">
        <v>189</v>
      </c>
      <c r="B189" t="s">
        <v>936</v>
      </c>
      <c r="C189" s="3">
        <v>3045</v>
      </c>
      <c r="D189" s="3">
        <v>624</v>
      </c>
      <c r="E189" s="3">
        <v>5471</v>
      </c>
      <c r="F189">
        <v>1439</v>
      </c>
      <c r="G189">
        <v>982</v>
      </c>
      <c r="H189">
        <v>61</v>
      </c>
      <c r="I189" t="s">
        <v>941</v>
      </c>
      <c r="J189">
        <v>9</v>
      </c>
      <c r="K189" t="s">
        <v>950</v>
      </c>
    </row>
    <row r="190" spans="1:11" x14ac:dyDescent="0.25">
      <c r="A190" t="s">
        <v>190</v>
      </c>
      <c r="B190" t="s">
        <v>934</v>
      </c>
      <c r="C190" s="3">
        <v>10219</v>
      </c>
      <c r="D190" s="3">
        <v>4641</v>
      </c>
      <c r="E190" s="3">
        <v>9752</v>
      </c>
      <c r="F190">
        <v>3636</v>
      </c>
      <c r="G190">
        <v>1942</v>
      </c>
      <c r="H190">
        <v>112</v>
      </c>
      <c r="I190" t="s">
        <v>938</v>
      </c>
      <c r="J190">
        <v>6</v>
      </c>
      <c r="K190" t="s">
        <v>943</v>
      </c>
    </row>
    <row r="191" spans="1:11" x14ac:dyDescent="0.25">
      <c r="A191" t="s">
        <v>191</v>
      </c>
      <c r="B191" t="s">
        <v>937</v>
      </c>
      <c r="C191" s="3">
        <v>2361</v>
      </c>
      <c r="D191" s="3">
        <v>-2308</v>
      </c>
      <c r="E191" s="3">
        <v>9800</v>
      </c>
      <c r="F191">
        <v>4085</v>
      </c>
      <c r="G191">
        <v>584</v>
      </c>
      <c r="H191">
        <v>71</v>
      </c>
      <c r="I191" t="s">
        <v>938</v>
      </c>
      <c r="J191">
        <v>2</v>
      </c>
      <c r="K191" t="s">
        <v>947</v>
      </c>
    </row>
    <row r="192" spans="1:11" x14ac:dyDescent="0.25">
      <c r="A192" t="s">
        <v>192</v>
      </c>
      <c r="B192" t="s">
        <v>936</v>
      </c>
      <c r="C192" s="3">
        <v>7086</v>
      </c>
      <c r="D192" s="3">
        <v>3527</v>
      </c>
      <c r="E192" s="3">
        <v>8245</v>
      </c>
      <c r="F192">
        <v>2354</v>
      </c>
      <c r="G192">
        <v>1205</v>
      </c>
      <c r="H192">
        <v>13</v>
      </c>
      <c r="I192" t="s">
        <v>940</v>
      </c>
      <c r="J192">
        <v>7</v>
      </c>
      <c r="K192" t="s">
        <v>943</v>
      </c>
    </row>
    <row r="193" spans="1:11" x14ac:dyDescent="0.25">
      <c r="A193" t="s">
        <v>193</v>
      </c>
      <c r="B193" t="s">
        <v>936</v>
      </c>
      <c r="C193" s="3">
        <v>4775</v>
      </c>
      <c r="D193" s="3">
        <v>1976</v>
      </c>
      <c r="E193" s="3">
        <v>5130</v>
      </c>
      <c r="F193">
        <v>1561</v>
      </c>
      <c r="G193">
        <v>1238</v>
      </c>
      <c r="H193">
        <v>51</v>
      </c>
      <c r="I193" t="s">
        <v>939</v>
      </c>
      <c r="J193">
        <v>2</v>
      </c>
      <c r="K193" t="s">
        <v>950</v>
      </c>
    </row>
    <row r="194" spans="1:11" x14ac:dyDescent="0.25">
      <c r="A194" t="s">
        <v>194</v>
      </c>
      <c r="B194" t="s">
        <v>935</v>
      </c>
      <c r="C194" s="3">
        <v>11557</v>
      </c>
      <c r="D194" s="3">
        <v>9036</v>
      </c>
      <c r="E194" s="3">
        <v>7031</v>
      </c>
      <c r="F194">
        <v>901</v>
      </c>
      <c r="G194">
        <v>1620</v>
      </c>
      <c r="H194">
        <v>79</v>
      </c>
      <c r="I194" t="s">
        <v>939</v>
      </c>
      <c r="J194">
        <v>1</v>
      </c>
      <c r="K194" t="s">
        <v>952</v>
      </c>
    </row>
    <row r="195" spans="1:11" x14ac:dyDescent="0.25">
      <c r="A195" t="s">
        <v>195</v>
      </c>
      <c r="B195" t="s">
        <v>934</v>
      </c>
      <c r="C195" s="3">
        <v>3864</v>
      </c>
      <c r="D195" s="3">
        <v>-1047</v>
      </c>
      <c r="E195" s="3">
        <v>5651</v>
      </c>
      <c r="F195">
        <v>3409</v>
      </c>
      <c r="G195">
        <v>1502</v>
      </c>
      <c r="H195">
        <v>14</v>
      </c>
      <c r="I195" t="s">
        <v>941</v>
      </c>
      <c r="J195">
        <v>10</v>
      </c>
      <c r="K195" t="s">
        <v>946</v>
      </c>
    </row>
    <row r="196" spans="1:11" x14ac:dyDescent="0.25">
      <c r="A196" t="s">
        <v>131</v>
      </c>
      <c r="B196" t="s">
        <v>934</v>
      </c>
      <c r="C196" s="3">
        <v>7057</v>
      </c>
      <c r="D196" s="3">
        <v>3870</v>
      </c>
      <c r="E196" s="3">
        <v>4084</v>
      </c>
      <c r="F196">
        <v>1493</v>
      </c>
      <c r="G196">
        <v>1694</v>
      </c>
      <c r="H196">
        <v>39</v>
      </c>
      <c r="I196" t="s">
        <v>941</v>
      </c>
      <c r="J196">
        <v>7</v>
      </c>
      <c r="K196" t="s">
        <v>949</v>
      </c>
    </row>
    <row r="197" spans="1:11" x14ac:dyDescent="0.25">
      <c r="A197" t="s">
        <v>196</v>
      </c>
      <c r="B197" t="s">
        <v>934</v>
      </c>
      <c r="C197" s="3">
        <v>10973</v>
      </c>
      <c r="D197" s="3">
        <v>8189</v>
      </c>
      <c r="E197" s="3">
        <v>8715</v>
      </c>
      <c r="F197">
        <v>2421</v>
      </c>
      <c r="G197">
        <v>363</v>
      </c>
      <c r="H197">
        <v>23</v>
      </c>
      <c r="I197" t="s">
        <v>938</v>
      </c>
      <c r="J197">
        <v>2</v>
      </c>
      <c r="K197" t="s">
        <v>943</v>
      </c>
    </row>
    <row r="198" spans="1:11" x14ac:dyDescent="0.25">
      <c r="A198" t="s">
        <v>197</v>
      </c>
      <c r="B198" t="s">
        <v>935</v>
      </c>
      <c r="C198" s="3">
        <v>10742</v>
      </c>
      <c r="D198" s="3">
        <v>6411</v>
      </c>
      <c r="E198" s="3">
        <v>7018</v>
      </c>
      <c r="F198">
        <v>2525</v>
      </c>
      <c r="G198">
        <v>1806</v>
      </c>
      <c r="H198">
        <v>81</v>
      </c>
      <c r="I198" t="s">
        <v>940</v>
      </c>
      <c r="J198">
        <v>10</v>
      </c>
      <c r="K198" t="s">
        <v>949</v>
      </c>
    </row>
    <row r="199" spans="1:11" x14ac:dyDescent="0.25">
      <c r="A199" t="s">
        <v>198</v>
      </c>
      <c r="B199" t="s">
        <v>934</v>
      </c>
      <c r="C199" s="3">
        <v>4227</v>
      </c>
      <c r="D199" s="3">
        <v>506</v>
      </c>
      <c r="E199" s="3">
        <v>9046</v>
      </c>
      <c r="F199">
        <v>3340</v>
      </c>
      <c r="G199">
        <v>381</v>
      </c>
      <c r="H199">
        <v>49</v>
      </c>
      <c r="I199" t="s">
        <v>941</v>
      </c>
      <c r="J199">
        <v>8</v>
      </c>
      <c r="K199" t="s">
        <v>943</v>
      </c>
    </row>
    <row r="200" spans="1:11" x14ac:dyDescent="0.25">
      <c r="A200" t="s">
        <v>199</v>
      </c>
      <c r="B200" t="s">
        <v>934</v>
      </c>
      <c r="C200" s="3">
        <v>7597</v>
      </c>
      <c r="D200" s="3">
        <v>5563</v>
      </c>
      <c r="E200" s="3">
        <v>5357</v>
      </c>
      <c r="F200">
        <v>1251</v>
      </c>
      <c r="G200">
        <v>783</v>
      </c>
      <c r="H200">
        <v>105</v>
      </c>
      <c r="I200" t="s">
        <v>941</v>
      </c>
      <c r="J200">
        <v>2</v>
      </c>
      <c r="K200" t="s">
        <v>952</v>
      </c>
    </row>
    <row r="201" spans="1:11" x14ac:dyDescent="0.25">
      <c r="A201" t="s">
        <v>200</v>
      </c>
      <c r="B201" t="s">
        <v>937</v>
      </c>
      <c r="C201" s="3">
        <v>7169</v>
      </c>
      <c r="D201" s="3">
        <v>1951</v>
      </c>
      <c r="E201" s="3">
        <v>6907</v>
      </c>
      <c r="F201">
        <v>4635</v>
      </c>
      <c r="G201">
        <v>583</v>
      </c>
      <c r="H201">
        <v>71</v>
      </c>
      <c r="I201" t="s">
        <v>938</v>
      </c>
      <c r="J201">
        <v>2</v>
      </c>
      <c r="K201" t="s">
        <v>946</v>
      </c>
    </row>
    <row r="202" spans="1:11" x14ac:dyDescent="0.25">
      <c r="A202" t="s">
        <v>201</v>
      </c>
      <c r="B202" t="s">
        <v>937</v>
      </c>
      <c r="C202" s="3">
        <v>10789</v>
      </c>
      <c r="D202" s="3">
        <v>6850</v>
      </c>
      <c r="E202" s="3">
        <v>8569</v>
      </c>
      <c r="F202">
        <v>3166</v>
      </c>
      <c r="G202">
        <v>773</v>
      </c>
      <c r="H202">
        <v>16</v>
      </c>
      <c r="I202" t="s">
        <v>942</v>
      </c>
      <c r="J202">
        <v>8</v>
      </c>
      <c r="K202" t="s">
        <v>951</v>
      </c>
    </row>
    <row r="203" spans="1:11" x14ac:dyDescent="0.25">
      <c r="A203" t="s">
        <v>156</v>
      </c>
      <c r="B203" t="s">
        <v>936</v>
      </c>
      <c r="C203" s="3">
        <v>11135</v>
      </c>
      <c r="D203" s="3">
        <v>5684</v>
      </c>
      <c r="E203" s="3">
        <v>7275</v>
      </c>
      <c r="F203">
        <v>4155</v>
      </c>
      <c r="G203">
        <v>1296</v>
      </c>
      <c r="H203">
        <v>30</v>
      </c>
      <c r="I203" t="s">
        <v>939</v>
      </c>
      <c r="J203">
        <v>4</v>
      </c>
      <c r="K203" t="s">
        <v>946</v>
      </c>
    </row>
    <row r="204" spans="1:11" x14ac:dyDescent="0.25">
      <c r="A204" t="s">
        <v>202</v>
      </c>
      <c r="B204" t="s">
        <v>937</v>
      </c>
      <c r="C204" s="3">
        <v>10357</v>
      </c>
      <c r="D204" s="3">
        <v>6424</v>
      </c>
      <c r="E204" s="3">
        <v>8148</v>
      </c>
      <c r="F204">
        <v>2196</v>
      </c>
      <c r="G204">
        <v>1737</v>
      </c>
      <c r="H204">
        <v>35</v>
      </c>
      <c r="I204" t="s">
        <v>941</v>
      </c>
      <c r="J204">
        <v>2</v>
      </c>
      <c r="K204" t="s">
        <v>946</v>
      </c>
    </row>
    <row r="205" spans="1:11" x14ac:dyDescent="0.25">
      <c r="A205" t="s">
        <v>81</v>
      </c>
      <c r="B205" t="s">
        <v>937</v>
      </c>
      <c r="C205" s="3">
        <v>5490</v>
      </c>
      <c r="D205" s="3">
        <v>1642</v>
      </c>
      <c r="E205" s="3">
        <v>5341</v>
      </c>
      <c r="F205">
        <v>3237</v>
      </c>
      <c r="G205">
        <v>611</v>
      </c>
      <c r="H205">
        <v>53</v>
      </c>
      <c r="I205" t="s">
        <v>940</v>
      </c>
      <c r="J205">
        <v>2</v>
      </c>
      <c r="K205" t="s">
        <v>945</v>
      </c>
    </row>
    <row r="206" spans="1:11" x14ac:dyDescent="0.25">
      <c r="A206" t="s">
        <v>203</v>
      </c>
      <c r="B206" t="s">
        <v>935</v>
      </c>
      <c r="C206" s="3">
        <v>3303</v>
      </c>
      <c r="D206" s="3">
        <v>-1194</v>
      </c>
      <c r="E206" s="3">
        <v>9504</v>
      </c>
      <c r="F206">
        <v>4268</v>
      </c>
      <c r="G206">
        <v>229</v>
      </c>
      <c r="H206">
        <v>88</v>
      </c>
      <c r="I206" t="s">
        <v>940</v>
      </c>
      <c r="J206">
        <v>8</v>
      </c>
      <c r="K206" t="s">
        <v>954</v>
      </c>
    </row>
    <row r="207" spans="1:11" x14ac:dyDescent="0.25">
      <c r="A207" t="s">
        <v>204</v>
      </c>
      <c r="B207" t="s">
        <v>935</v>
      </c>
      <c r="C207" s="3">
        <v>3919</v>
      </c>
      <c r="D207" s="3">
        <v>-2012</v>
      </c>
      <c r="E207" s="3">
        <v>6493</v>
      </c>
      <c r="F207">
        <v>3989</v>
      </c>
      <c r="G207">
        <v>1942</v>
      </c>
      <c r="H207">
        <v>103</v>
      </c>
      <c r="I207" t="s">
        <v>941</v>
      </c>
      <c r="J207">
        <v>2</v>
      </c>
      <c r="K207" t="s">
        <v>951</v>
      </c>
    </row>
    <row r="208" spans="1:11" x14ac:dyDescent="0.25">
      <c r="A208" t="s">
        <v>205</v>
      </c>
      <c r="B208" t="s">
        <v>934</v>
      </c>
      <c r="C208" s="3">
        <v>2428</v>
      </c>
      <c r="D208" s="3">
        <v>-1173</v>
      </c>
      <c r="E208" s="3">
        <v>8495</v>
      </c>
      <c r="F208">
        <v>2725</v>
      </c>
      <c r="G208">
        <v>876</v>
      </c>
      <c r="H208">
        <v>63</v>
      </c>
      <c r="I208" t="s">
        <v>942</v>
      </c>
      <c r="J208">
        <v>1</v>
      </c>
      <c r="K208" t="s">
        <v>947</v>
      </c>
    </row>
    <row r="209" spans="1:11" x14ac:dyDescent="0.25">
      <c r="A209" t="s">
        <v>206</v>
      </c>
      <c r="B209" t="s">
        <v>936</v>
      </c>
      <c r="C209" s="3">
        <v>9809</v>
      </c>
      <c r="D209" s="3">
        <v>6624</v>
      </c>
      <c r="E209" s="3">
        <v>8543</v>
      </c>
      <c r="F209">
        <v>1235</v>
      </c>
      <c r="G209">
        <v>1950</v>
      </c>
      <c r="H209">
        <v>60</v>
      </c>
      <c r="I209" t="s">
        <v>938</v>
      </c>
      <c r="J209">
        <v>9</v>
      </c>
      <c r="K209" t="s">
        <v>947</v>
      </c>
    </row>
    <row r="210" spans="1:11" x14ac:dyDescent="0.25">
      <c r="A210" t="s">
        <v>207</v>
      </c>
      <c r="B210" t="s">
        <v>936</v>
      </c>
      <c r="C210" s="3">
        <v>4643</v>
      </c>
      <c r="D210" s="3">
        <v>-1077</v>
      </c>
      <c r="E210" s="3">
        <v>4396</v>
      </c>
      <c r="F210">
        <v>4256</v>
      </c>
      <c r="G210">
        <v>1464</v>
      </c>
      <c r="H210">
        <v>66</v>
      </c>
      <c r="I210" t="s">
        <v>938</v>
      </c>
      <c r="J210">
        <v>8</v>
      </c>
      <c r="K210" t="s">
        <v>951</v>
      </c>
    </row>
    <row r="211" spans="1:11" x14ac:dyDescent="0.25">
      <c r="A211" t="s">
        <v>208</v>
      </c>
      <c r="B211" t="s">
        <v>937</v>
      </c>
      <c r="C211" s="3">
        <v>4310</v>
      </c>
      <c r="D211" s="3">
        <v>435</v>
      </c>
      <c r="E211" s="3">
        <v>5524</v>
      </c>
      <c r="F211">
        <v>2380</v>
      </c>
      <c r="G211">
        <v>1495</v>
      </c>
      <c r="H211">
        <v>79</v>
      </c>
      <c r="I211" t="s">
        <v>938</v>
      </c>
      <c r="J211">
        <v>2</v>
      </c>
      <c r="K211" t="s">
        <v>943</v>
      </c>
    </row>
    <row r="212" spans="1:11" x14ac:dyDescent="0.25">
      <c r="A212" t="s">
        <v>209</v>
      </c>
      <c r="B212" t="s">
        <v>934</v>
      </c>
      <c r="C212" s="3">
        <v>4323</v>
      </c>
      <c r="D212" s="3">
        <v>-415</v>
      </c>
      <c r="E212" s="3">
        <v>6503</v>
      </c>
      <c r="F212">
        <v>3470</v>
      </c>
      <c r="G212">
        <v>1268</v>
      </c>
      <c r="H212">
        <v>28</v>
      </c>
      <c r="I212" t="s">
        <v>941</v>
      </c>
      <c r="J212">
        <v>9</v>
      </c>
      <c r="K212" t="s">
        <v>952</v>
      </c>
    </row>
    <row r="213" spans="1:11" x14ac:dyDescent="0.25">
      <c r="A213" t="s">
        <v>210</v>
      </c>
      <c r="B213" t="s">
        <v>936</v>
      </c>
      <c r="C213" s="3">
        <v>5165</v>
      </c>
      <c r="D213" s="3">
        <v>209</v>
      </c>
      <c r="E213" s="3">
        <v>4049</v>
      </c>
      <c r="F213">
        <v>4643</v>
      </c>
      <c r="G213">
        <v>313</v>
      </c>
      <c r="H213">
        <v>107</v>
      </c>
      <c r="I213" t="s">
        <v>940</v>
      </c>
      <c r="J213">
        <v>6</v>
      </c>
      <c r="K213" t="s">
        <v>943</v>
      </c>
    </row>
    <row r="214" spans="1:11" x14ac:dyDescent="0.25">
      <c r="A214" t="s">
        <v>211</v>
      </c>
      <c r="B214" t="s">
        <v>935</v>
      </c>
      <c r="C214" s="3">
        <v>3981</v>
      </c>
      <c r="D214" s="3">
        <v>1447</v>
      </c>
      <c r="E214" s="3">
        <v>9487</v>
      </c>
      <c r="F214">
        <v>851</v>
      </c>
      <c r="G214">
        <v>1683</v>
      </c>
      <c r="H214">
        <v>95</v>
      </c>
      <c r="I214" t="s">
        <v>942</v>
      </c>
      <c r="J214">
        <v>7</v>
      </c>
      <c r="K214" t="s">
        <v>954</v>
      </c>
    </row>
    <row r="215" spans="1:11" x14ac:dyDescent="0.25">
      <c r="A215" t="s">
        <v>212</v>
      </c>
      <c r="B215" t="s">
        <v>937</v>
      </c>
      <c r="C215" s="3">
        <v>7088</v>
      </c>
      <c r="D215" s="3">
        <v>1859</v>
      </c>
      <c r="E215" s="3">
        <v>8091</v>
      </c>
      <c r="F215">
        <v>4820</v>
      </c>
      <c r="G215">
        <v>409</v>
      </c>
      <c r="H215">
        <v>97</v>
      </c>
      <c r="I215" t="s">
        <v>939</v>
      </c>
      <c r="J215">
        <v>2</v>
      </c>
      <c r="K215" t="s">
        <v>943</v>
      </c>
    </row>
    <row r="216" spans="1:11" x14ac:dyDescent="0.25">
      <c r="A216" t="s">
        <v>213</v>
      </c>
      <c r="B216" t="s">
        <v>935</v>
      </c>
      <c r="C216" s="3">
        <v>10293</v>
      </c>
      <c r="D216" s="3">
        <v>5701</v>
      </c>
      <c r="E216" s="3">
        <v>4057</v>
      </c>
      <c r="F216">
        <v>4361</v>
      </c>
      <c r="G216">
        <v>231</v>
      </c>
      <c r="H216">
        <v>92</v>
      </c>
      <c r="I216" t="s">
        <v>938</v>
      </c>
      <c r="J216">
        <v>1</v>
      </c>
      <c r="K216" t="s">
        <v>952</v>
      </c>
    </row>
    <row r="217" spans="1:11" x14ac:dyDescent="0.25">
      <c r="A217" t="s">
        <v>214</v>
      </c>
      <c r="B217" t="s">
        <v>935</v>
      </c>
      <c r="C217" s="3">
        <v>4704</v>
      </c>
      <c r="D217" s="3">
        <v>-152</v>
      </c>
      <c r="E217" s="3">
        <v>8728</v>
      </c>
      <c r="F217">
        <v>3128</v>
      </c>
      <c r="G217">
        <v>1728</v>
      </c>
      <c r="H217">
        <v>80</v>
      </c>
      <c r="I217" t="s">
        <v>942</v>
      </c>
      <c r="J217">
        <v>1</v>
      </c>
      <c r="K217" t="s">
        <v>950</v>
      </c>
    </row>
    <row r="218" spans="1:11" x14ac:dyDescent="0.25">
      <c r="A218" t="s">
        <v>215</v>
      </c>
      <c r="B218" t="s">
        <v>934</v>
      </c>
      <c r="C218" s="3">
        <v>6850</v>
      </c>
      <c r="D218" s="3">
        <v>3263</v>
      </c>
      <c r="E218" s="3">
        <v>7075</v>
      </c>
      <c r="F218">
        <v>2286</v>
      </c>
      <c r="G218">
        <v>1301</v>
      </c>
      <c r="H218">
        <v>66</v>
      </c>
      <c r="I218" t="s">
        <v>939</v>
      </c>
      <c r="J218">
        <v>6</v>
      </c>
      <c r="K218" t="s">
        <v>945</v>
      </c>
    </row>
    <row r="219" spans="1:11" x14ac:dyDescent="0.25">
      <c r="A219" t="s">
        <v>216</v>
      </c>
      <c r="B219" t="s">
        <v>934</v>
      </c>
      <c r="C219" s="3">
        <v>2321</v>
      </c>
      <c r="D219" s="3">
        <v>-2240</v>
      </c>
      <c r="E219" s="3">
        <v>9033</v>
      </c>
      <c r="F219">
        <v>4246</v>
      </c>
      <c r="G219">
        <v>315</v>
      </c>
      <c r="H219">
        <v>117</v>
      </c>
      <c r="I219" t="s">
        <v>940</v>
      </c>
      <c r="J219">
        <v>10</v>
      </c>
      <c r="K219" t="s">
        <v>950</v>
      </c>
    </row>
    <row r="220" spans="1:11" x14ac:dyDescent="0.25">
      <c r="A220" t="s">
        <v>217</v>
      </c>
      <c r="B220" t="s">
        <v>935</v>
      </c>
      <c r="C220" s="3">
        <v>3780</v>
      </c>
      <c r="D220" s="3">
        <v>-1100</v>
      </c>
      <c r="E220" s="3">
        <v>6972</v>
      </c>
      <c r="F220">
        <v>4129</v>
      </c>
      <c r="G220">
        <v>751</v>
      </c>
      <c r="H220">
        <v>120</v>
      </c>
      <c r="I220" t="s">
        <v>940</v>
      </c>
      <c r="J220">
        <v>2</v>
      </c>
      <c r="K220" t="s">
        <v>946</v>
      </c>
    </row>
    <row r="221" spans="1:11" x14ac:dyDescent="0.25">
      <c r="A221" t="s">
        <v>218</v>
      </c>
      <c r="B221" t="s">
        <v>935</v>
      </c>
      <c r="C221" s="3">
        <v>4281</v>
      </c>
      <c r="D221" s="3">
        <v>-1898</v>
      </c>
      <c r="E221" s="3">
        <v>7004</v>
      </c>
      <c r="F221">
        <v>4574</v>
      </c>
      <c r="G221">
        <v>1605</v>
      </c>
      <c r="H221">
        <v>112</v>
      </c>
      <c r="I221" t="s">
        <v>941</v>
      </c>
      <c r="J221">
        <v>10</v>
      </c>
      <c r="K221" t="s">
        <v>952</v>
      </c>
    </row>
    <row r="222" spans="1:11" x14ac:dyDescent="0.25">
      <c r="A222" t="s">
        <v>219</v>
      </c>
      <c r="B222" t="s">
        <v>935</v>
      </c>
      <c r="C222" s="3">
        <v>4406</v>
      </c>
      <c r="D222" s="3">
        <v>1305</v>
      </c>
      <c r="E222" s="3">
        <v>6738</v>
      </c>
      <c r="F222">
        <v>1990</v>
      </c>
      <c r="G222">
        <v>1111</v>
      </c>
      <c r="H222">
        <v>36</v>
      </c>
      <c r="I222" t="s">
        <v>941</v>
      </c>
      <c r="J222">
        <v>7</v>
      </c>
      <c r="K222" t="s">
        <v>952</v>
      </c>
    </row>
    <row r="223" spans="1:11" x14ac:dyDescent="0.25">
      <c r="A223" t="s">
        <v>220</v>
      </c>
      <c r="B223" t="s">
        <v>934</v>
      </c>
      <c r="C223" s="3">
        <v>11756</v>
      </c>
      <c r="D223" s="3">
        <v>8902</v>
      </c>
      <c r="E223" s="3">
        <v>6642</v>
      </c>
      <c r="F223">
        <v>2115</v>
      </c>
      <c r="G223">
        <v>739</v>
      </c>
      <c r="H223">
        <v>96</v>
      </c>
      <c r="I223" t="s">
        <v>941</v>
      </c>
      <c r="J223">
        <v>2</v>
      </c>
      <c r="K223" t="s">
        <v>952</v>
      </c>
    </row>
    <row r="224" spans="1:11" x14ac:dyDescent="0.25">
      <c r="A224" t="s">
        <v>221</v>
      </c>
      <c r="B224" t="s">
        <v>935</v>
      </c>
      <c r="C224" s="3">
        <v>2571</v>
      </c>
      <c r="D224" s="3">
        <v>-502</v>
      </c>
      <c r="E224" s="3">
        <v>9093</v>
      </c>
      <c r="F224">
        <v>1330</v>
      </c>
      <c r="G224">
        <v>1743</v>
      </c>
      <c r="H224">
        <v>19</v>
      </c>
      <c r="I224" t="s">
        <v>940</v>
      </c>
      <c r="J224">
        <v>9</v>
      </c>
      <c r="K224" t="s">
        <v>947</v>
      </c>
    </row>
    <row r="225" spans="1:11" x14ac:dyDescent="0.25">
      <c r="A225" t="s">
        <v>120</v>
      </c>
      <c r="B225" t="s">
        <v>936</v>
      </c>
      <c r="C225" s="3">
        <v>5312</v>
      </c>
      <c r="D225" s="3">
        <v>716</v>
      </c>
      <c r="E225" s="3">
        <v>9708</v>
      </c>
      <c r="F225">
        <v>2643</v>
      </c>
      <c r="G225">
        <v>1953</v>
      </c>
      <c r="H225">
        <v>91</v>
      </c>
      <c r="I225" t="s">
        <v>942</v>
      </c>
      <c r="J225">
        <v>8</v>
      </c>
      <c r="K225" t="s">
        <v>947</v>
      </c>
    </row>
    <row r="226" spans="1:11" x14ac:dyDescent="0.25">
      <c r="A226" t="s">
        <v>222</v>
      </c>
      <c r="B226" t="s">
        <v>935</v>
      </c>
      <c r="C226" s="3">
        <v>11566</v>
      </c>
      <c r="D226" s="3">
        <v>8455</v>
      </c>
      <c r="E226" s="3">
        <v>8892</v>
      </c>
      <c r="F226">
        <v>2041</v>
      </c>
      <c r="G226">
        <v>1070</v>
      </c>
      <c r="H226">
        <v>47</v>
      </c>
      <c r="I226" t="s">
        <v>942</v>
      </c>
      <c r="J226">
        <v>10</v>
      </c>
      <c r="K226" t="s">
        <v>953</v>
      </c>
    </row>
    <row r="227" spans="1:11" x14ac:dyDescent="0.25">
      <c r="A227" t="s">
        <v>223</v>
      </c>
      <c r="B227" t="s">
        <v>934</v>
      </c>
      <c r="C227" s="3">
        <v>5418</v>
      </c>
      <c r="D227" s="3">
        <v>2603</v>
      </c>
      <c r="E227" s="3">
        <v>5229</v>
      </c>
      <c r="F227">
        <v>896</v>
      </c>
      <c r="G227">
        <v>1919</v>
      </c>
      <c r="H227">
        <v>72</v>
      </c>
      <c r="I227" t="s">
        <v>939</v>
      </c>
      <c r="J227">
        <v>9</v>
      </c>
      <c r="K227" t="s">
        <v>952</v>
      </c>
    </row>
    <row r="228" spans="1:11" x14ac:dyDescent="0.25">
      <c r="A228" t="s">
        <v>224</v>
      </c>
      <c r="B228" t="s">
        <v>935</v>
      </c>
      <c r="C228" s="3">
        <v>4887</v>
      </c>
      <c r="D228" s="3">
        <v>860</v>
      </c>
      <c r="E228" s="3">
        <v>6922</v>
      </c>
      <c r="F228">
        <v>2885</v>
      </c>
      <c r="G228">
        <v>1142</v>
      </c>
      <c r="H228">
        <v>34</v>
      </c>
      <c r="I228" t="s">
        <v>939</v>
      </c>
      <c r="J228">
        <v>2</v>
      </c>
      <c r="K228" t="s">
        <v>949</v>
      </c>
    </row>
    <row r="229" spans="1:11" x14ac:dyDescent="0.25">
      <c r="A229" t="s">
        <v>225</v>
      </c>
      <c r="B229" t="s">
        <v>937</v>
      </c>
      <c r="C229" s="3">
        <v>5262</v>
      </c>
      <c r="D229" s="3">
        <v>2676</v>
      </c>
      <c r="E229" s="3">
        <v>7957</v>
      </c>
      <c r="F229">
        <v>1270</v>
      </c>
      <c r="G229">
        <v>1316</v>
      </c>
      <c r="H229">
        <v>47</v>
      </c>
      <c r="I229" t="s">
        <v>940</v>
      </c>
      <c r="J229">
        <v>3</v>
      </c>
      <c r="K229" t="s">
        <v>952</v>
      </c>
    </row>
    <row r="230" spans="1:11" x14ac:dyDescent="0.25">
      <c r="A230" t="s">
        <v>226</v>
      </c>
      <c r="B230" t="s">
        <v>935</v>
      </c>
      <c r="C230" s="3">
        <v>4658</v>
      </c>
      <c r="D230" s="3">
        <v>-98</v>
      </c>
      <c r="E230" s="3">
        <v>9058</v>
      </c>
      <c r="F230">
        <v>3758</v>
      </c>
      <c r="G230">
        <v>998</v>
      </c>
      <c r="H230">
        <v>72</v>
      </c>
      <c r="I230" t="s">
        <v>940</v>
      </c>
      <c r="J230">
        <v>4</v>
      </c>
      <c r="K230" t="s">
        <v>954</v>
      </c>
    </row>
    <row r="231" spans="1:11" x14ac:dyDescent="0.25">
      <c r="A231" t="s">
        <v>215</v>
      </c>
      <c r="B231" t="s">
        <v>934</v>
      </c>
      <c r="C231" s="3">
        <v>10654</v>
      </c>
      <c r="D231" s="3">
        <v>7393</v>
      </c>
      <c r="E231" s="3">
        <v>7856</v>
      </c>
      <c r="F231">
        <v>1644</v>
      </c>
      <c r="G231">
        <v>1617</v>
      </c>
      <c r="H231">
        <v>22</v>
      </c>
      <c r="I231" t="s">
        <v>938</v>
      </c>
      <c r="J231">
        <v>10</v>
      </c>
      <c r="K231" t="s">
        <v>945</v>
      </c>
    </row>
    <row r="232" spans="1:11" x14ac:dyDescent="0.25">
      <c r="A232" t="s">
        <v>227</v>
      </c>
      <c r="B232" t="s">
        <v>936</v>
      </c>
      <c r="C232" s="3">
        <v>10297</v>
      </c>
      <c r="D232" s="3">
        <v>3655</v>
      </c>
      <c r="E232" s="3">
        <v>8964</v>
      </c>
      <c r="F232">
        <v>4819</v>
      </c>
      <c r="G232">
        <v>1823</v>
      </c>
      <c r="H232">
        <v>47</v>
      </c>
      <c r="I232" t="s">
        <v>941</v>
      </c>
      <c r="J232">
        <v>7</v>
      </c>
      <c r="K232" t="s">
        <v>945</v>
      </c>
    </row>
    <row r="233" spans="1:11" x14ac:dyDescent="0.25">
      <c r="A233" t="s">
        <v>228</v>
      </c>
      <c r="B233" t="s">
        <v>935</v>
      </c>
      <c r="C233" s="3">
        <v>3455</v>
      </c>
      <c r="D233" s="3">
        <v>-2024</v>
      </c>
      <c r="E233" s="3">
        <v>8483</v>
      </c>
      <c r="F233">
        <v>4943</v>
      </c>
      <c r="G233">
        <v>536</v>
      </c>
      <c r="H233">
        <v>72</v>
      </c>
      <c r="I233" t="s">
        <v>940</v>
      </c>
      <c r="J233">
        <v>10</v>
      </c>
      <c r="K233" t="s">
        <v>945</v>
      </c>
    </row>
    <row r="234" spans="1:11" x14ac:dyDescent="0.25">
      <c r="A234" t="s">
        <v>229</v>
      </c>
      <c r="B234" t="s">
        <v>937</v>
      </c>
      <c r="C234" s="3">
        <v>10736</v>
      </c>
      <c r="D234" s="3">
        <v>6542</v>
      </c>
      <c r="E234" s="3">
        <v>9151</v>
      </c>
      <c r="F234">
        <v>3709</v>
      </c>
      <c r="G234">
        <v>485</v>
      </c>
      <c r="H234">
        <v>118</v>
      </c>
      <c r="I234" t="s">
        <v>939</v>
      </c>
      <c r="J234">
        <v>5</v>
      </c>
      <c r="K234" t="s">
        <v>944</v>
      </c>
    </row>
    <row r="235" spans="1:11" x14ac:dyDescent="0.25">
      <c r="A235" t="s">
        <v>230</v>
      </c>
      <c r="B235" t="s">
        <v>935</v>
      </c>
      <c r="C235" s="3">
        <v>9219</v>
      </c>
      <c r="D235" s="3">
        <v>5654</v>
      </c>
      <c r="E235" s="3">
        <v>4401</v>
      </c>
      <c r="F235">
        <v>1681</v>
      </c>
      <c r="G235">
        <v>1884</v>
      </c>
      <c r="H235">
        <v>10</v>
      </c>
      <c r="I235" t="s">
        <v>941</v>
      </c>
      <c r="J235">
        <v>2</v>
      </c>
      <c r="K235" t="s">
        <v>948</v>
      </c>
    </row>
    <row r="236" spans="1:11" x14ac:dyDescent="0.25">
      <c r="A236" t="s">
        <v>111</v>
      </c>
      <c r="B236" t="s">
        <v>934</v>
      </c>
      <c r="C236" s="3">
        <v>3324</v>
      </c>
      <c r="D236" s="3">
        <v>-1506</v>
      </c>
      <c r="E236" s="3">
        <v>6505</v>
      </c>
      <c r="F236">
        <v>3422</v>
      </c>
      <c r="G236">
        <v>1408</v>
      </c>
      <c r="H236">
        <v>51</v>
      </c>
      <c r="I236" t="s">
        <v>938</v>
      </c>
      <c r="J236">
        <v>9</v>
      </c>
      <c r="K236" t="s">
        <v>952</v>
      </c>
    </row>
    <row r="237" spans="1:11" x14ac:dyDescent="0.25">
      <c r="A237" t="s">
        <v>231</v>
      </c>
      <c r="B237" t="s">
        <v>937</v>
      </c>
      <c r="C237" s="3">
        <v>11045</v>
      </c>
      <c r="D237" s="3">
        <v>5978</v>
      </c>
      <c r="E237" s="3">
        <v>6192</v>
      </c>
      <c r="F237">
        <v>4658</v>
      </c>
      <c r="G237">
        <v>409</v>
      </c>
      <c r="H237">
        <v>45</v>
      </c>
      <c r="I237" t="s">
        <v>940</v>
      </c>
      <c r="J237">
        <v>6</v>
      </c>
      <c r="K237" t="s">
        <v>952</v>
      </c>
    </row>
    <row r="238" spans="1:11" x14ac:dyDescent="0.25">
      <c r="A238" t="s">
        <v>232</v>
      </c>
      <c r="B238" t="s">
        <v>936</v>
      </c>
      <c r="C238" s="3">
        <v>5709</v>
      </c>
      <c r="D238" s="3">
        <v>2738</v>
      </c>
      <c r="E238" s="3">
        <v>8174</v>
      </c>
      <c r="F238">
        <v>2487</v>
      </c>
      <c r="G238">
        <v>484</v>
      </c>
      <c r="H238">
        <v>84</v>
      </c>
      <c r="I238" t="s">
        <v>940</v>
      </c>
      <c r="J238">
        <v>1</v>
      </c>
      <c r="K238" t="s">
        <v>949</v>
      </c>
    </row>
    <row r="239" spans="1:11" x14ac:dyDescent="0.25">
      <c r="A239" t="s">
        <v>233</v>
      </c>
      <c r="B239" t="s">
        <v>936</v>
      </c>
      <c r="C239" s="3">
        <v>3453</v>
      </c>
      <c r="D239" s="3">
        <v>530</v>
      </c>
      <c r="E239" s="3">
        <v>5824</v>
      </c>
      <c r="F239">
        <v>1074</v>
      </c>
      <c r="G239">
        <v>1849</v>
      </c>
      <c r="H239">
        <v>82</v>
      </c>
      <c r="I239" t="s">
        <v>938</v>
      </c>
      <c r="J239">
        <v>5</v>
      </c>
      <c r="K239" t="s">
        <v>951</v>
      </c>
    </row>
    <row r="240" spans="1:11" x14ac:dyDescent="0.25">
      <c r="A240" t="s">
        <v>234</v>
      </c>
      <c r="B240" t="s">
        <v>934</v>
      </c>
      <c r="C240" s="3">
        <v>2748</v>
      </c>
      <c r="D240" s="3">
        <v>-1108</v>
      </c>
      <c r="E240" s="3">
        <v>5825</v>
      </c>
      <c r="F240">
        <v>1890</v>
      </c>
      <c r="G240">
        <v>1966</v>
      </c>
      <c r="H240">
        <v>92</v>
      </c>
      <c r="I240" t="s">
        <v>939</v>
      </c>
      <c r="J240">
        <v>8</v>
      </c>
      <c r="K240" t="s">
        <v>950</v>
      </c>
    </row>
    <row r="241" spans="1:11" x14ac:dyDescent="0.25">
      <c r="A241" t="s">
        <v>235</v>
      </c>
      <c r="B241" t="s">
        <v>934</v>
      </c>
      <c r="C241" s="3">
        <v>4945</v>
      </c>
      <c r="D241" s="3">
        <v>867</v>
      </c>
      <c r="E241" s="3">
        <v>9735</v>
      </c>
      <c r="F241">
        <v>3188</v>
      </c>
      <c r="G241">
        <v>890</v>
      </c>
      <c r="H241">
        <v>63</v>
      </c>
      <c r="I241" t="s">
        <v>939</v>
      </c>
      <c r="J241">
        <v>5</v>
      </c>
      <c r="K241" t="s">
        <v>945</v>
      </c>
    </row>
    <row r="242" spans="1:11" x14ac:dyDescent="0.25">
      <c r="A242" t="s">
        <v>236</v>
      </c>
      <c r="B242" t="s">
        <v>935</v>
      </c>
      <c r="C242" s="3">
        <v>2787</v>
      </c>
      <c r="D242" s="3">
        <v>-2306</v>
      </c>
      <c r="E242" s="3">
        <v>6136</v>
      </c>
      <c r="F242">
        <v>3884</v>
      </c>
      <c r="G242">
        <v>1209</v>
      </c>
      <c r="H242">
        <v>114</v>
      </c>
      <c r="I242" t="s">
        <v>940</v>
      </c>
      <c r="J242">
        <v>4</v>
      </c>
      <c r="K242" t="s">
        <v>951</v>
      </c>
    </row>
    <row r="243" spans="1:11" x14ac:dyDescent="0.25">
      <c r="A243" t="s">
        <v>237</v>
      </c>
      <c r="B243" t="s">
        <v>936</v>
      </c>
      <c r="C243" s="3">
        <v>9847</v>
      </c>
      <c r="D243" s="3">
        <v>7726</v>
      </c>
      <c r="E243" s="3">
        <v>7570</v>
      </c>
      <c r="F243">
        <v>1265</v>
      </c>
      <c r="G243">
        <v>856</v>
      </c>
      <c r="H243">
        <v>57</v>
      </c>
      <c r="I243" t="s">
        <v>940</v>
      </c>
      <c r="J243">
        <v>5</v>
      </c>
      <c r="K243" t="s">
        <v>946</v>
      </c>
    </row>
    <row r="244" spans="1:11" x14ac:dyDescent="0.25">
      <c r="A244" t="s">
        <v>238</v>
      </c>
      <c r="B244" t="s">
        <v>935</v>
      </c>
      <c r="C244" s="3">
        <v>4348</v>
      </c>
      <c r="D244" s="3">
        <v>-559</v>
      </c>
      <c r="E244" s="3">
        <v>5836</v>
      </c>
      <c r="F244">
        <v>4270</v>
      </c>
      <c r="G244">
        <v>637</v>
      </c>
      <c r="H244">
        <v>54</v>
      </c>
      <c r="I244" t="s">
        <v>942</v>
      </c>
      <c r="J244">
        <v>2</v>
      </c>
      <c r="K244" t="s">
        <v>952</v>
      </c>
    </row>
    <row r="245" spans="1:11" x14ac:dyDescent="0.25">
      <c r="A245" t="s">
        <v>239</v>
      </c>
      <c r="B245" t="s">
        <v>936</v>
      </c>
      <c r="C245" s="3">
        <v>6903</v>
      </c>
      <c r="D245" s="3">
        <v>680</v>
      </c>
      <c r="E245" s="3">
        <v>5725</v>
      </c>
      <c r="F245">
        <v>4937</v>
      </c>
      <c r="G245">
        <v>1286</v>
      </c>
      <c r="H245">
        <v>29</v>
      </c>
      <c r="I245" t="s">
        <v>940</v>
      </c>
      <c r="J245">
        <v>1</v>
      </c>
      <c r="K245" t="s">
        <v>950</v>
      </c>
    </row>
    <row r="246" spans="1:11" x14ac:dyDescent="0.25">
      <c r="A246" t="s">
        <v>51</v>
      </c>
      <c r="B246" t="s">
        <v>934</v>
      </c>
      <c r="C246" s="3">
        <v>9546</v>
      </c>
      <c r="D246" s="3">
        <v>3360</v>
      </c>
      <c r="E246" s="3">
        <v>6878</v>
      </c>
      <c r="F246">
        <v>4685</v>
      </c>
      <c r="G246">
        <v>1501</v>
      </c>
      <c r="H246">
        <v>104</v>
      </c>
      <c r="I246" t="s">
        <v>941</v>
      </c>
      <c r="J246">
        <v>4</v>
      </c>
      <c r="K246" t="s">
        <v>951</v>
      </c>
    </row>
    <row r="247" spans="1:11" x14ac:dyDescent="0.25">
      <c r="A247" t="s">
        <v>240</v>
      </c>
      <c r="B247" t="s">
        <v>935</v>
      </c>
      <c r="C247" s="3">
        <v>11203</v>
      </c>
      <c r="D247" s="3">
        <v>7279</v>
      </c>
      <c r="E247" s="3">
        <v>4735</v>
      </c>
      <c r="F247">
        <v>2680</v>
      </c>
      <c r="G247">
        <v>1244</v>
      </c>
      <c r="H247">
        <v>120</v>
      </c>
      <c r="I247" t="s">
        <v>939</v>
      </c>
      <c r="J247">
        <v>5</v>
      </c>
      <c r="K247" t="s">
        <v>954</v>
      </c>
    </row>
    <row r="248" spans="1:11" x14ac:dyDescent="0.25">
      <c r="A248" t="s">
        <v>241</v>
      </c>
      <c r="B248" t="s">
        <v>934</v>
      </c>
      <c r="C248" s="3">
        <v>9682</v>
      </c>
      <c r="D248" s="3">
        <v>4477</v>
      </c>
      <c r="E248" s="3">
        <v>4193</v>
      </c>
      <c r="F248">
        <v>3399</v>
      </c>
      <c r="G248">
        <v>1806</v>
      </c>
      <c r="H248">
        <v>117</v>
      </c>
      <c r="I248" t="s">
        <v>942</v>
      </c>
      <c r="J248">
        <v>4</v>
      </c>
      <c r="K248" t="s">
        <v>953</v>
      </c>
    </row>
    <row r="249" spans="1:11" x14ac:dyDescent="0.25">
      <c r="A249" t="s">
        <v>242</v>
      </c>
      <c r="B249" t="s">
        <v>934</v>
      </c>
      <c r="C249" s="3">
        <v>3623</v>
      </c>
      <c r="D249" s="3">
        <v>1596</v>
      </c>
      <c r="E249" s="3">
        <v>8156</v>
      </c>
      <c r="F249">
        <v>1409</v>
      </c>
      <c r="G249">
        <v>618</v>
      </c>
      <c r="H249">
        <v>87</v>
      </c>
      <c r="I249" t="s">
        <v>940</v>
      </c>
      <c r="J249">
        <v>5</v>
      </c>
      <c r="K249" t="s">
        <v>948</v>
      </c>
    </row>
    <row r="250" spans="1:11" x14ac:dyDescent="0.25">
      <c r="A250" t="s">
        <v>243</v>
      </c>
      <c r="B250" t="s">
        <v>936</v>
      </c>
      <c r="C250" s="3">
        <v>2041</v>
      </c>
      <c r="D250" s="3">
        <v>-2437</v>
      </c>
      <c r="E250" s="3">
        <v>8541</v>
      </c>
      <c r="F250">
        <v>2975</v>
      </c>
      <c r="G250">
        <v>1503</v>
      </c>
      <c r="H250">
        <v>85</v>
      </c>
      <c r="I250" t="s">
        <v>940</v>
      </c>
      <c r="J250">
        <v>4</v>
      </c>
      <c r="K250" t="s">
        <v>951</v>
      </c>
    </row>
    <row r="251" spans="1:11" x14ac:dyDescent="0.25">
      <c r="A251" t="s">
        <v>244</v>
      </c>
      <c r="B251" t="s">
        <v>936</v>
      </c>
      <c r="C251" s="3">
        <v>4468</v>
      </c>
      <c r="D251" s="3">
        <v>2209</v>
      </c>
      <c r="E251" s="3">
        <v>8635</v>
      </c>
      <c r="F251">
        <v>1424</v>
      </c>
      <c r="G251">
        <v>835</v>
      </c>
      <c r="H251">
        <v>81</v>
      </c>
      <c r="I251" t="s">
        <v>942</v>
      </c>
      <c r="J251">
        <v>10</v>
      </c>
      <c r="K251" t="s">
        <v>953</v>
      </c>
    </row>
    <row r="252" spans="1:11" x14ac:dyDescent="0.25">
      <c r="A252" t="s">
        <v>245</v>
      </c>
      <c r="B252" t="s">
        <v>937</v>
      </c>
      <c r="C252" s="3">
        <v>5829</v>
      </c>
      <c r="D252" s="3">
        <v>-518</v>
      </c>
      <c r="E252" s="3">
        <v>5244</v>
      </c>
      <c r="F252">
        <v>4913</v>
      </c>
      <c r="G252">
        <v>1434</v>
      </c>
      <c r="H252">
        <v>90</v>
      </c>
      <c r="I252" t="s">
        <v>939</v>
      </c>
      <c r="J252">
        <v>1</v>
      </c>
      <c r="K252" t="s">
        <v>951</v>
      </c>
    </row>
    <row r="253" spans="1:11" x14ac:dyDescent="0.25">
      <c r="A253" t="s">
        <v>246</v>
      </c>
      <c r="B253" t="s">
        <v>934</v>
      </c>
      <c r="C253" s="3">
        <v>9177</v>
      </c>
      <c r="D253" s="3">
        <v>3446</v>
      </c>
      <c r="E253" s="3">
        <v>5323</v>
      </c>
      <c r="F253">
        <v>4527</v>
      </c>
      <c r="G253">
        <v>1204</v>
      </c>
      <c r="H253">
        <v>88</v>
      </c>
      <c r="I253" t="s">
        <v>938</v>
      </c>
      <c r="J253">
        <v>8</v>
      </c>
      <c r="K253" t="s">
        <v>953</v>
      </c>
    </row>
    <row r="254" spans="1:11" x14ac:dyDescent="0.25">
      <c r="A254" t="s">
        <v>247</v>
      </c>
      <c r="B254" t="s">
        <v>936</v>
      </c>
      <c r="C254" s="3">
        <v>2017</v>
      </c>
      <c r="D254" s="3">
        <v>-2894</v>
      </c>
      <c r="E254" s="3">
        <v>5189</v>
      </c>
      <c r="F254">
        <v>3274</v>
      </c>
      <c r="G254">
        <v>1637</v>
      </c>
      <c r="H254">
        <v>57</v>
      </c>
      <c r="I254" t="s">
        <v>942</v>
      </c>
      <c r="J254">
        <v>3</v>
      </c>
      <c r="K254" t="s">
        <v>948</v>
      </c>
    </row>
    <row r="255" spans="1:11" x14ac:dyDescent="0.25">
      <c r="A255" t="s">
        <v>248</v>
      </c>
      <c r="B255" t="s">
        <v>934</v>
      </c>
      <c r="C255" s="3">
        <v>2930</v>
      </c>
      <c r="D255" s="3">
        <v>-160</v>
      </c>
      <c r="E255" s="3">
        <v>7377</v>
      </c>
      <c r="F255">
        <v>2575</v>
      </c>
      <c r="G255">
        <v>515</v>
      </c>
      <c r="H255">
        <v>27</v>
      </c>
      <c r="I255" t="s">
        <v>942</v>
      </c>
      <c r="J255">
        <v>7</v>
      </c>
      <c r="K255" t="s">
        <v>949</v>
      </c>
    </row>
    <row r="256" spans="1:11" x14ac:dyDescent="0.25">
      <c r="A256" t="s">
        <v>167</v>
      </c>
      <c r="B256" t="s">
        <v>935</v>
      </c>
      <c r="C256" s="3">
        <v>8689</v>
      </c>
      <c r="D256" s="3">
        <v>3655</v>
      </c>
      <c r="E256" s="3">
        <v>6131</v>
      </c>
      <c r="F256">
        <v>3132</v>
      </c>
      <c r="G256">
        <v>1902</v>
      </c>
      <c r="H256">
        <v>64</v>
      </c>
      <c r="I256" t="s">
        <v>942</v>
      </c>
      <c r="J256">
        <v>2</v>
      </c>
      <c r="K256" t="s">
        <v>943</v>
      </c>
    </row>
    <row r="257" spans="1:11" x14ac:dyDescent="0.25">
      <c r="A257" t="s">
        <v>249</v>
      </c>
      <c r="B257" t="s">
        <v>936</v>
      </c>
      <c r="C257" s="3">
        <v>7014</v>
      </c>
      <c r="D257" s="3">
        <v>2311</v>
      </c>
      <c r="E257" s="3">
        <v>7942</v>
      </c>
      <c r="F257">
        <v>4313</v>
      </c>
      <c r="G257">
        <v>390</v>
      </c>
      <c r="H257">
        <v>62</v>
      </c>
      <c r="I257" t="s">
        <v>939</v>
      </c>
      <c r="J257">
        <v>6</v>
      </c>
      <c r="K257" t="s">
        <v>950</v>
      </c>
    </row>
    <row r="258" spans="1:11" x14ac:dyDescent="0.25">
      <c r="A258" t="s">
        <v>250</v>
      </c>
      <c r="B258" t="s">
        <v>935</v>
      </c>
      <c r="C258" s="3">
        <v>4948</v>
      </c>
      <c r="D258" s="3">
        <v>245</v>
      </c>
      <c r="E258" s="3">
        <v>6646</v>
      </c>
      <c r="F258">
        <v>2904</v>
      </c>
      <c r="G258">
        <v>1799</v>
      </c>
      <c r="H258">
        <v>22</v>
      </c>
      <c r="I258" t="s">
        <v>942</v>
      </c>
      <c r="J258">
        <v>4</v>
      </c>
      <c r="K258" t="s">
        <v>952</v>
      </c>
    </row>
    <row r="259" spans="1:11" x14ac:dyDescent="0.25">
      <c r="A259" t="s">
        <v>251</v>
      </c>
      <c r="B259" t="s">
        <v>934</v>
      </c>
      <c r="C259" s="3">
        <v>5577</v>
      </c>
      <c r="D259" s="3">
        <v>-452</v>
      </c>
      <c r="E259" s="3">
        <v>6040</v>
      </c>
      <c r="F259">
        <v>4332</v>
      </c>
      <c r="G259">
        <v>1697</v>
      </c>
      <c r="H259">
        <v>114</v>
      </c>
      <c r="I259" t="s">
        <v>941</v>
      </c>
      <c r="J259">
        <v>8</v>
      </c>
      <c r="K259" t="s">
        <v>944</v>
      </c>
    </row>
    <row r="260" spans="1:11" x14ac:dyDescent="0.25">
      <c r="A260" t="s">
        <v>252</v>
      </c>
      <c r="B260" t="s">
        <v>935</v>
      </c>
      <c r="C260" s="3">
        <v>3909</v>
      </c>
      <c r="D260" s="3">
        <v>-658</v>
      </c>
      <c r="E260" s="3">
        <v>4389</v>
      </c>
      <c r="F260">
        <v>2931</v>
      </c>
      <c r="G260">
        <v>1636</v>
      </c>
      <c r="H260">
        <v>96</v>
      </c>
      <c r="I260" t="s">
        <v>941</v>
      </c>
      <c r="J260">
        <v>2</v>
      </c>
      <c r="K260" t="s">
        <v>951</v>
      </c>
    </row>
    <row r="261" spans="1:11" x14ac:dyDescent="0.25">
      <c r="A261" t="s">
        <v>21</v>
      </c>
      <c r="B261" t="s">
        <v>937</v>
      </c>
      <c r="C261" s="3">
        <v>3781</v>
      </c>
      <c r="D261" s="3">
        <v>1686</v>
      </c>
      <c r="E261" s="3">
        <v>8733</v>
      </c>
      <c r="F261">
        <v>1061</v>
      </c>
      <c r="G261">
        <v>1034</v>
      </c>
      <c r="H261">
        <v>37</v>
      </c>
      <c r="I261" t="s">
        <v>938</v>
      </c>
      <c r="J261">
        <v>9</v>
      </c>
      <c r="K261" t="s">
        <v>951</v>
      </c>
    </row>
    <row r="262" spans="1:11" x14ac:dyDescent="0.25">
      <c r="A262" t="s">
        <v>253</v>
      </c>
      <c r="B262" t="s">
        <v>935</v>
      </c>
      <c r="C262" s="3">
        <v>6681</v>
      </c>
      <c r="D262" s="3">
        <v>3583</v>
      </c>
      <c r="E262" s="3">
        <v>9676</v>
      </c>
      <c r="F262">
        <v>1386</v>
      </c>
      <c r="G262">
        <v>1712</v>
      </c>
      <c r="H262">
        <v>32</v>
      </c>
      <c r="I262" t="s">
        <v>938</v>
      </c>
      <c r="J262">
        <v>3</v>
      </c>
      <c r="K262" t="s">
        <v>947</v>
      </c>
    </row>
    <row r="263" spans="1:11" x14ac:dyDescent="0.25">
      <c r="A263" t="s">
        <v>254</v>
      </c>
      <c r="B263" t="s">
        <v>935</v>
      </c>
      <c r="C263" s="3">
        <v>4684</v>
      </c>
      <c r="D263" s="3">
        <v>-1942</v>
      </c>
      <c r="E263" s="3">
        <v>7823</v>
      </c>
      <c r="F263">
        <v>4813</v>
      </c>
      <c r="G263">
        <v>1813</v>
      </c>
      <c r="H263">
        <v>83</v>
      </c>
      <c r="I263" t="s">
        <v>942</v>
      </c>
      <c r="J263">
        <v>1</v>
      </c>
      <c r="K263" t="s">
        <v>951</v>
      </c>
    </row>
    <row r="264" spans="1:11" x14ac:dyDescent="0.25">
      <c r="A264" t="s">
        <v>255</v>
      </c>
      <c r="B264" t="s">
        <v>936</v>
      </c>
      <c r="C264" s="3">
        <v>9975</v>
      </c>
      <c r="D264" s="3">
        <v>4572</v>
      </c>
      <c r="E264" s="3">
        <v>9258</v>
      </c>
      <c r="F264">
        <v>3724</v>
      </c>
      <c r="G264">
        <v>1679</v>
      </c>
      <c r="H264">
        <v>119</v>
      </c>
      <c r="I264" t="s">
        <v>940</v>
      </c>
      <c r="J264">
        <v>9</v>
      </c>
      <c r="K264" t="s">
        <v>951</v>
      </c>
    </row>
    <row r="265" spans="1:11" x14ac:dyDescent="0.25">
      <c r="A265" t="s">
        <v>256</v>
      </c>
      <c r="B265" t="s">
        <v>935</v>
      </c>
      <c r="C265" s="3">
        <v>8420</v>
      </c>
      <c r="D265" s="3">
        <v>3452</v>
      </c>
      <c r="E265" s="3">
        <v>5188</v>
      </c>
      <c r="F265">
        <v>3900</v>
      </c>
      <c r="G265">
        <v>1068</v>
      </c>
      <c r="H265">
        <v>109</v>
      </c>
      <c r="I265" t="s">
        <v>941</v>
      </c>
      <c r="J265">
        <v>4</v>
      </c>
      <c r="K265" t="s">
        <v>948</v>
      </c>
    </row>
    <row r="266" spans="1:11" x14ac:dyDescent="0.25">
      <c r="A266" t="s">
        <v>257</v>
      </c>
      <c r="B266" t="s">
        <v>935</v>
      </c>
      <c r="C266" s="3">
        <v>11203</v>
      </c>
      <c r="D266" s="3">
        <v>8224</v>
      </c>
      <c r="E266" s="3">
        <v>9569</v>
      </c>
      <c r="F266">
        <v>1894</v>
      </c>
      <c r="G266">
        <v>1085</v>
      </c>
      <c r="H266">
        <v>46</v>
      </c>
      <c r="I266" t="s">
        <v>939</v>
      </c>
      <c r="J266">
        <v>6</v>
      </c>
      <c r="K266" t="s">
        <v>949</v>
      </c>
    </row>
    <row r="267" spans="1:11" x14ac:dyDescent="0.25">
      <c r="A267" t="s">
        <v>258</v>
      </c>
      <c r="B267" t="s">
        <v>935</v>
      </c>
      <c r="C267" s="3">
        <v>11776</v>
      </c>
      <c r="D267" s="3">
        <v>8614</v>
      </c>
      <c r="E267" s="3">
        <v>8735</v>
      </c>
      <c r="F267">
        <v>2753</v>
      </c>
      <c r="G267">
        <v>409</v>
      </c>
      <c r="H267">
        <v>68</v>
      </c>
      <c r="I267" t="s">
        <v>939</v>
      </c>
      <c r="J267">
        <v>4</v>
      </c>
      <c r="K267" t="s">
        <v>953</v>
      </c>
    </row>
    <row r="268" spans="1:11" x14ac:dyDescent="0.25">
      <c r="A268" t="s">
        <v>259</v>
      </c>
      <c r="B268" t="s">
        <v>935</v>
      </c>
      <c r="C268" s="3">
        <v>10615</v>
      </c>
      <c r="D268" s="3">
        <v>7447</v>
      </c>
      <c r="E268" s="3">
        <v>8288</v>
      </c>
      <c r="F268">
        <v>1800</v>
      </c>
      <c r="G268">
        <v>1368</v>
      </c>
      <c r="H268">
        <v>81</v>
      </c>
      <c r="I268" t="s">
        <v>941</v>
      </c>
      <c r="J268">
        <v>8</v>
      </c>
      <c r="K268" t="s">
        <v>946</v>
      </c>
    </row>
    <row r="269" spans="1:11" x14ac:dyDescent="0.25">
      <c r="A269" t="s">
        <v>260</v>
      </c>
      <c r="B269" t="s">
        <v>935</v>
      </c>
      <c r="C269" s="3">
        <v>3774</v>
      </c>
      <c r="D269" s="3">
        <v>667</v>
      </c>
      <c r="E269" s="3">
        <v>4866</v>
      </c>
      <c r="F269">
        <v>1289</v>
      </c>
      <c r="G269">
        <v>1818</v>
      </c>
      <c r="H269">
        <v>51</v>
      </c>
      <c r="I269" t="s">
        <v>941</v>
      </c>
      <c r="J269">
        <v>10</v>
      </c>
      <c r="K269" t="s">
        <v>948</v>
      </c>
    </row>
    <row r="270" spans="1:11" x14ac:dyDescent="0.25">
      <c r="A270" t="s">
        <v>158</v>
      </c>
      <c r="B270" t="s">
        <v>934</v>
      </c>
      <c r="C270" s="3">
        <v>8077</v>
      </c>
      <c r="D270" s="3">
        <v>3824</v>
      </c>
      <c r="E270" s="3">
        <v>9162</v>
      </c>
      <c r="F270">
        <v>2512</v>
      </c>
      <c r="G270">
        <v>1741</v>
      </c>
      <c r="H270">
        <v>48</v>
      </c>
      <c r="I270" t="s">
        <v>938</v>
      </c>
      <c r="J270">
        <v>4</v>
      </c>
      <c r="K270" t="s">
        <v>953</v>
      </c>
    </row>
    <row r="271" spans="1:11" x14ac:dyDescent="0.25">
      <c r="A271" t="s">
        <v>59</v>
      </c>
      <c r="B271" t="s">
        <v>935</v>
      </c>
      <c r="C271" s="3">
        <v>6111</v>
      </c>
      <c r="D271" s="3">
        <v>3863</v>
      </c>
      <c r="E271" s="3">
        <v>4941</v>
      </c>
      <c r="F271">
        <v>875</v>
      </c>
      <c r="G271">
        <v>1373</v>
      </c>
      <c r="H271">
        <v>96</v>
      </c>
      <c r="I271" t="s">
        <v>942</v>
      </c>
      <c r="J271">
        <v>3</v>
      </c>
      <c r="K271" t="s">
        <v>951</v>
      </c>
    </row>
    <row r="272" spans="1:11" x14ac:dyDescent="0.25">
      <c r="A272" t="s">
        <v>261</v>
      </c>
      <c r="B272" t="s">
        <v>937</v>
      </c>
      <c r="C272" s="3">
        <v>4799</v>
      </c>
      <c r="D272" s="3">
        <v>3194</v>
      </c>
      <c r="E272" s="3">
        <v>9618</v>
      </c>
      <c r="F272">
        <v>1041</v>
      </c>
      <c r="G272">
        <v>564</v>
      </c>
      <c r="H272">
        <v>58</v>
      </c>
      <c r="I272" t="s">
        <v>938</v>
      </c>
      <c r="J272">
        <v>8</v>
      </c>
      <c r="K272" t="s">
        <v>943</v>
      </c>
    </row>
    <row r="273" spans="1:11" x14ac:dyDescent="0.25">
      <c r="A273" t="s">
        <v>262</v>
      </c>
      <c r="B273" t="s">
        <v>934</v>
      </c>
      <c r="C273" s="3">
        <v>9180</v>
      </c>
      <c r="D273" s="3">
        <v>3740</v>
      </c>
      <c r="E273" s="3">
        <v>4540</v>
      </c>
      <c r="F273">
        <v>4306</v>
      </c>
      <c r="G273">
        <v>1134</v>
      </c>
      <c r="H273">
        <v>43</v>
      </c>
      <c r="I273" t="s">
        <v>941</v>
      </c>
      <c r="J273">
        <v>4</v>
      </c>
      <c r="K273" t="s">
        <v>949</v>
      </c>
    </row>
    <row r="274" spans="1:11" x14ac:dyDescent="0.25">
      <c r="A274" t="s">
        <v>263</v>
      </c>
      <c r="B274" t="s">
        <v>935</v>
      </c>
      <c r="C274" s="3">
        <v>6888</v>
      </c>
      <c r="D274" s="3">
        <v>1782</v>
      </c>
      <c r="E274" s="3">
        <v>7880</v>
      </c>
      <c r="F274">
        <v>4315</v>
      </c>
      <c r="G274">
        <v>791</v>
      </c>
      <c r="H274">
        <v>46</v>
      </c>
      <c r="I274" t="s">
        <v>941</v>
      </c>
      <c r="J274">
        <v>3</v>
      </c>
      <c r="K274" t="s">
        <v>945</v>
      </c>
    </row>
    <row r="275" spans="1:11" x14ac:dyDescent="0.25">
      <c r="A275" t="s">
        <v>264</v>
      </c>
      <c r="B275" t="s">
        <v>935</v>
      </c>
      <c r="C275" s="3">
        <v>5484</v>
      </c>
      <c r="D275" s="3">
        <v>-41</v>
      </c>
      <c r="E275" s="3">
        <v>8230</v>
      </c>
      <c r="F275">
        <v>4949</v>
      </c>
      <c r="G275">
        <v>576</v>
      </c>
      <c r="H275">
        <v>11</v>
      </c>
      <c r="I275" t="s">
        <v>941</v>
      </c>
      <c r="J275">
        <v>2</v>
      </c>
      <c r="K275" t="s">
        <v>949</v>
      </c>
    </row>
    <row r="276" spans="1:11" x14ac:dyDescent="0.25">
      <c r="A276" t="s">
        <v>265</v>
      </c>
      <c r="B276" t="s">
        <v>934</v>
      </c>
      <c r="C276" s="3">
        <v>9676</v>
      </c>
      <c r="D276" s="3">
        <v>6928</v>
      </c>
      <c r="E276" s="3">
        <v>7752</v>
      </c>
      <c r="F276">
        <v>1903</v>
      </c>
      <c r="G276">
        <v>845</v>
      </c>
      <c r="H276">
        <v>87</v>
      </c>
      <c r="I276" t="s">
        <v>942</v>
      </c>
      <c r="J276">
        <v>1</v>
      </c>
      <c r="K276" t="s">
        <v>943</v>
      </c>
    </row>
    <row r="277" spans="1:11" x14ac:dyDescent="0.25">
      <c r="A277" t="s">
        <v>266</v>
      </c>
      <c r="B277" t="s">
        <v>934</v>
      </c>
      <c r="C277" s="3">
        <v>7966</v>
      </c>
      <c r="D277" s="3">
        <v>3841</v>
      </c>
      <c r="E277" s="3">
        <v>4535</v>
      </c>
      <c r="F277">
        <v>3134</v>
      </c>
      <c r="G277">
        <v>991</v>
      </c>
      <c r="H277">
        <v>92</v>
      </c>
      <c r="I277" t="s">
        <v>941</v>
      </c>
      <c r="J277">
        <v>1</v>
      </c>
      <c r="K277" t="s">
        <v>951</v>
      </c>
    </row>
    <row r="278" spans="1:11" x14ac:dyDescent="0.25">
      <c r="A278" t="s">
        <v>267</v>
      </c>
      <c r="B278" t="s">
        <v>934</v>
      </c>
      <c r="C278" s="3">
        <v>7341</v>
      </c>
      <c r="D278" s="3">
        <v>4036</v>
      </c>
      <c r="E278" s="3">
        <v>6112</v>
      </c>
      <c r="F278">
        <v>2414</v>
      </c>
      <c r="G278">
        <v>891</v>
      </c>
      <c r="H278">
        <v>113</v>
      </c>
      <c r="I278" t="s">
        <v>942</v>
      </c>
      <c r="J278">
        <v>2</v>
      </c>
      <c r="K278" t="s">
        <v>947</v>
      </c>
    </row>
    <row r="279" spans="1:11" x14ac:dyDescent="0.25">
      <c r="A279" t="s">
        <v>268</v>
      </c>
      <c r="B279" t="s">
        <v>937</v>
      </c>
      <c r="C279" s="3">
        <v>3530</v>
      </c>
      <c r="D279" s="3">
        <v>-199</v>
      </c>
      <c r="E279" s="3">
        <v>5397</v>
      </c>
      <c r="F279">
        <v>2771</v>
      </c>
      <c r="G279">
        <v>958</v>
      </c>
      <c r="H279">
        <v>63</v>
      </c>
      <c r="I279" t="s">
        <v>940</v>
      </c>
      <c r="J279">
        <v>10</v>
      </c>
      <c r="K279" t="s">
        <v>951</v>
      </c>
    </row>
    <row r="280" spans="1:11" x14ac:dyDescent="0.25">
      <c r="A280" t="s">
        <v>269</v>
      </c>
      <c r="B280" t="s">
        <v>937</v>
      </c>
      <c r="C280" s="3">
        <v>8610</v>
      </c>
      <c r="D280" s="3">
        <v>4281</v>
      </c>
      <c r="E280" s="3">
        <v>9242</v>
      </c>
      <c r="F280">
        <v>3178</v>
      </c>
      <c r="G280">
        <v>1151</v>
      </c>
      <c r="H280">
        <v>88</v>
      </c>
      <c r="I280" t="s">
        <v>941</v>
      </c>
      <c r="J280">
        <v>3</v>
      </c>
      <c r="K280" t="s">
        <v>951</v>
      </c>
    </row>
    <row r="281" spans="1:11" x14ac:dyDescent="0.25">
      <c r="A281" t="s">
        <v>270</v>
      </c>
      <c r="B281" t="s">
        <v>937</v>
      </c>
      <c r="C281" s="3">
        <v>4176</v>
      </c>
      <c r="D281" s="3">
        <v>1458</v>
      </c>
      <c r="E281" s="3">
        <v>7184</v>
      </c>
      <c r="F281">
        <v>1424</v>
      </c>
      <c r="G281">
        <v>1294</v>
      </c>
      <c r="H281">
        <v>17</v>
      </c>
      <c r="I281" t="s">
        <v>938</v>
      </c>
      <c r="J281">
        <v>8</v>
      </c>
      <c r="K281" t="s">
        <v>954</v>
      </c>
    </row>
    <row r="282" spans="1:11" x14ac:dyDescent="0.25">
      <c r="A282" t="s">
        <v>271</v>
      </c>
      <c r="B282" t="s">
        <v>936</v>
      </c>
      <c r="C282" s="3">
        <v>9925</v>
      </c>
      <c r="D282" s="3">
        <v>5096</v>
      </c>
      <c r="E282" s="3">
        <v>8852</v>
      </c>
      <c r="F282">
        <v>4477</v>
      </c>
      <c r="G282">
        <v>352</v>
      </c>
      <c r="H282">
        <v>73</v>
      </c>
      <c r="I282" t="s">
        <v>938</v>
      </c>
      <c r="J282">
        <v>6</v>
      </c>
      <c r="K282" t="s">
        <v>947</v>
      </c>
    </row>
    <row r="283" spans="1:11" x14ac:dyDescent="0.25">
      <c r="A283" t="s">
        <v>272</v>
      </c>
      <c r="B283" t="s">
        <v>934</v>
      </c>
      <c r="C283" s="3">
        <v>8317</v>
      </c>
      <c r="D283" s="3">
        <v>1503</v>
      </c>
      <c r="E283" s="3">
        <v>9099</v>
      </c>
      <c r="F283">
        <v>4896</v>
      </c>
      <c r="G283">
        <v>1918</v>
      </c>
      <c r="H283">
        <v>55</v>
      </c>
      <c r="I283" t="s">
        <v>940</v>
      </c>
      <c r="J283">
        <v>10</v>
      </c>
      <c r="K283" t="s">
        <v>952</v>
      </c>
    </row>
    <row r="284" spans="1:11" x14ac:dyDescent="0.25">
      <c r="A284" t="s">
        <v>273</v>
      </c>
      <c r="B284" t="s">
        <v>934</v>
      </c>
      <c r="C284" s="3">
        <v>5116</v>
      </c>
      <c r="D284" s="3">
        <v>-338</v>
      </c>
      <c r="E284" s="3">
        <v>5975</v>
      </c>
      <c r="F284">
        <v>4875</v>
      </c>
      <c r="G284">
        <v>579</v>
      </c>
      <c r="H284">
        <v>19</v>
      </c>
      <c r="I284" t="s">
        <v>941</v>
      </c>
      <c r="J284">
        <v>9</v>
      </c>
      <c r="K284" t="s">
        <v>944</v>
      </c>
    </row>
    <row r="285" spans="1:11" x14ac:dyDescent="0.25">
      <c r="A285" t="s">
        <v>189</v>
      </c>
      <c r="B285" t="s">
        <v>937</v>
      </c>
      <c r="C285" s="3">
        <v>11313</v>
      </c>
      <c r="D285" s="3">
        <v>6784</v>
      </c>
      <c r="E285" s="3">
        <v>8816</v>
      </c>
      <c r="F285">
        <v>2938</v>
      </c>
      <c r="G285">
        <v>1591</v>
      </c>
      <c r="H285">
        <v>47</v>
      </c>
      <c r="I285" t="s">
        <v>940</v>
      </c>
      <c r="J285">
        <v>4</v>
      </c>
      <c r="K285" t="s">
        <v>950</v>
      </c>
    </row>
    <row r="286" spans="1:11" x14ac:dyDescent="0.25">
      <c r="A286" t="s">
        <v>274</v>
      </c>
      <c r="B286" t="s">
        <v>937</v>
      </c>
      <c r="C286" s="3">
        <v>3419</v>
      </c>
      <c r="D286" s="3">
        <v>-2119</v>
      </c>
      <c r="E286" s="3">
        <v>6222</v>
      </c>
      <c r="F286">
        <v>3875</v>
      </c>
      <c r="G286">
        <v>1663</v>
      </c>
      <c r="H286">
        <v>112</v>
      </c>
      <c r="I286" t="s">
        <v>941</v>
      </c>
      <c r="J286">
        <v>4</v>
      </c>
      <c r="K286" t="s">
        <v>954</v>
      </c>
    </row>
    <row r="287" spans="1:11" x14ac:dyDescent="0.25">
      <c r="A287" t="s">
        <v>275</v>
      </c>
      <c r="B287" t="s">
        <v>935</v>
      </c>
      <c r="C287" s="3">
        <v>6124</v>
      </c>
      <c r="D287" s="3">
        <v>1341</v>
      </c>
      <c r="E287" s="3">
        <v>4698</v>
      </c>
      <c r="F287">
        <v>2797</v>
      </c>
      <c r="G287">
        <v>1986</v>
      </c>
      <c r="H287">
        <v>56</v>
      </c>
      <c r="I287" t="s">
        <v>941</v>
      </c>
      <c r="J287">
        <v>10</v>
      </c>
      <c r="K287" t="s">
        <v>954</v>
      </c>
    </row>
    <row r="288" spans="1:11" x14ac:dyDescent="0.25">
      <c r="A288" t="s">
        <v>276</v>
      </c>
      <c r="B288" t="s">
        <v>937</v>
      </c>
      <c r="C288" s="3">
        <v>2956</v>
      </c>
      <c r="D288" s="3">
        <v>956</v>
      </c>
      <c r="E288" s="3">
        <v>6463</v>
      </c>
      <c r="F288">
        <v>1136</v>
      </c>
      <c r="G288">
        <v>864</v>
      </c>
      <c r="H288">
        <v>109</v>
      </c>
      <c r="I288" t="s">
        <v>941</v>
      </c>
      <c r="J288">
        <v>6</v>
      </c>
      <c r="K288" t="s">
        <v>944</v>
      </c>
    </row>
    <row r="289" spans="1:11" x14ac:dyDescent="0.25">
      <c r="A289" t="s">
        <v>175</v>
      </c>
      <c r="B289" t="s">
        <v>936</v>
      </c>
      <c r="C289" s="3">
        <v>3980</v>
      </c>
      <c r="D289" s="3">
        <v>-2159</v>
      </c>
      <c r="E289" s="3">
        <v>5410</v>
      </c>
      <c r="F289">
        <v>4244</v>
      </c>
      <c r="G289">
        <v>1895</v>
      </c>
      <c r="H289">
        <v>10</v>
      </c>
      <c r="I289" t="s">
        <v>938</v>
      </c>
      <c r="J289">
        <v>3</v>
      </c>
      <c r="K289" t="s">
        <v>950</v>
      </c>
    </row>
    <row r="290" spans="1:11" x14ac:dyDescent="0.25">
      <c r="A290" t="s">
        <v>277</v>
      </c>
      <c r="B290" t="s">
        <v>936</v>
      </c>
      <c r="C290" s="3">
        <v>5009</v>
      </c>
      <c r="D290" s="3">
        <v>2128</v>
      </c>
      <c r="E290" s="3">
        <v>4760</v>
      </c>
      <c r="F290">
        <v>2627</v>
      </c>
      <c r="G290">
        <v>254</v>
      </c>
      <c r="H290">
        <v>65</v>
      </c>
      <c r="I290" t="s">
        <v>940</v>
      </c>
      <c r="J290">
        <v>4</v>
      </c>
      <c r="K290" t="s">
        <v>946</v>
      </c>
    </row>
    <row r="291" spans="1:11" x14ac:dyDescent="0.25">
      <c r="A291" t="s">
        <v>278</v>
      </c>
      <c r="B291" t="s">
        <v>936</v>
      </c>
      <c r="C291" s="3">
        <v>3688</v>
      </c>
      <c r="D291" s="3">
        <v>-2397</v>
      </c>
      <c r="E291" s="3">
        <v>4898</v>
      </c>
      <c r="F291">
        <v>4111</v>
      </c>
      <c r="G291">
        <v>1974</v>
      </c>
      <c r="H291">
        <v>46</v>
      </c>
      <c r="I291" t="s">
        <v>941</v>
      </c>
      <c r="J291">
        <v>10</v>
      </c>
      <c r="K291" t="s">
        <v>948</v>
      </c>
    </row>
    <row r="292" spans="1:11" x14ac:dyDescent="0.25">
      <c r="A292" t="s">
        <v>279</v>
      </c>
      <c r="B292" t="s">
        <v>937</v>
      </c>
      <c r="C292" s="3">
        <v>3895</v>
      </c>
      <c r="D292" s="3">
        <v>-921</v>
      </c>
      <c r="E292" s="3">
        <v>4744</v>
      </c>
      <c r="F292">
        <v>4030</v>
      </c>
      <c r="G292">
        <v>786</v>
      </c>
      <c r="H292">
        <v>24</v>
      </c>
      <c r="I292" t="s">
        <v>938</v>
      </c>
      <c r="J292">
        <v>10</v>
      </c>
      <c r="K292" t="s">
        <v>949</v>
      </c>
    </row>
    <row r="293" spans="1:11" x14ac:dyDescent="0.25">
      <c r="A293" t="s">
        <v>280</v>
      </c>
      <c r="B293" t="s">
        <v>937</v>
      </c>
      <c r="C293" s="3">
        <v>4242</v>
      </c>
      <c r="D293" s="3">
        <v>-587</v>
      </c>
      <c r="E293" s="3">
        <v>6313</v>
      </c>
      <c r="F293">
        <v>4385</v>
      </c>
      <c r="G293">
        <v>444</v>
      </c>
      <c r="H293">
        <v>11</v>
      </c>
      <c r="I293" t="s">
        <v>939</v>
      </c>
      <c r="J293">
        <v>1</v>
      </c>
      <c r="K293" t="s">
        <v>946</v>
      </c>
    </row>
    <row r="294" spans="1:11" x14ac:dyDescent="0.25">
      <c r="A294" t="s">
        <v>281</v>
      </c>
      <c r="B294" t="s">
        <v>934</v>
      </c>
      <c r="C294" s="3">
        <v>5719</v>
      </c>
      <c r="D294" s="3">
        <v>767</v>
      </c>
      <c r="E294" s="3">
        <v>8936</v>
      </c>
      <c r="F294">
        <v>3713</v>
      </c>
      <c r="G294">
        <v>1239</v>
      </c>
      <c r="H294">
        <v>89</v>
      </c>
      <c r="I294" t="s">
        <v>942</v>
      </c>
      <c r="J294">
        <v>2</v>
      </c>
      <c r="K294" t="s">
        <v>954</v>
      </c>
    </row>
    <row r="295" spans="1:11" x14ac:dyDescent="0.25">
      <c r="A295" t="s">
        <v>282</v>
      </c>
      <c r="B295" t="s">
        <v>937</v>
      </c>
      <c r="C295" s="3">
        <v>10766</v>
      </c>
      <c r="D295" s="3">
        <v>5412</v>
      </c>
      <c r="E295" s="3">
        <v>6278</v>
      </c>
      <c r="F295">
        <v>4372</v>
      </c>
      <c r="G295">
        <v>982</v>
      </c>
      <c r="H295">
        <v>38</v>
      </c>
      <c r="I295" t="s">
        <v>941</v>
      </c>
      <c r="J295">
        <v>8</v>
      </c>
      <c r="K295" t="s">
        <v>951</v>
      </c>
    </row>
    <row r="296" spans="1:11" x14ac:dyDescent="0.25">
      <c r="A296" t="s">
        <v>283</v>
      </c>
      <c r="B296" t="s">
        <v>937</v>
      </c>
      <c r="C296" s="3">
        <v>4087</v>
      </c>
      <c r="D296" s="3">
        <v>-974</v>
      </c>
      <c r="E296" s="3">
        <v>8257</v>
      </c>
      <c r="F296">
        <v>4089</v>
      </c>
      <c r="G296">
        <v>972</v>
      </c>
      <c r="H296">
        <v>55</v>
      </c>
      <c r="I296" t="s">
        <v>941</v>
      </c>
      <c r="J296">
        <v>3</v>
      </c>
      <c r="K296" t="s">
        <v>944</v>
      </c>
    </row>
    <row r="297" spans="1:11" x14ac:dyDescent="0.25">
      <c r="A297" t="s">
        <v>284</v>
      </c>
      <c r="B297" t="s">
        <v>936</v>
      </c>
      <c r="C297" s="3">
        <v>7592</v>
      </c>
      <c r="D297" s="3">
        <v>3598</v>
      </c>
      <c r="E297" s="3">
        <v>8057</v>
      </c>
      <c r="F297">
        <v>3265</v>
      </c>
      <c r="G297">
        <v>729</v>
      </c>
      <c r="H297">
        <v>119</v>
      </c>
      <c r="I297" t="s">
        <v>939</v>
      </c>
      <c r="J297">
        <v>7</v>
      </c>
      <c r="K297" t="s">
        <v>946</v>
      </c>
    </row>
    <row r="298" spans="1:11" x14ac:dyDescent="0.25">
      <c r="A298" t="s">
        <v>285</v>
      </c>
      <c r="B298" t="s">
        <v>935</v>
      </c>
      <c r="C298" s="3">
        <v>2177</v>
      </c>
      <c r="D298" s="3">
        <v>-4642</v>
      </c>
      <c r="E298" s="3">
        <v>7234</v>
      </c>
      <c r="F298">
        <v>4921</v>
      </c>
      <c r="G298">
        <v>1898</v>
      </c>
      <c r="H298">
        <v>33</v>
      </c>
      <c r="I298" t="s">
        <v>940</v>
      </c>
      <c r="J298">
        <v>10</v>
      </c>
      <c r="K298" t="s">
        <v>943</v>
      </c>
    </row>
    <row r="299" spans="1:11" x14ac:dyDescent="0.25">
      <c r="A299" t="s">
        <v>286</v>
      </c>
      <c r="B299" t="s">
        <v>937</v>
      </c>
      <c r="C299" s="3">
        <v>8179</v>
      </c>
      <c r="D299" s="3">
        <v>4220</v>
      </c>
      <c r="E299" s="3">
        <v>9849</v>
      </c>
      <c r="F299">
        <v>2760</v>
      </c>
      <c r="G299">
        <v>1199</v>
      </c>
      <c r="H299">
        <v>14</v>
      </c>
      <c r="I299" t="s">
        <v>942</v>
      </c>
      <c r="J299">
        <v>4</v>
      </c>
      <c r="K299" t="s">
        <v>946</v>
      </c>
    </row>
    <row r="300" spans="1:11" x14ac:dyDescent="0.25">
      <c r="A300" t="s">
        <v>287</v>
      </c>
      <c r="B300" t="s">
        <v>937</v>
      </c>
      <c r="C300" s="3">
        <v>4175</v>
      </c>
      <c r="D300" s="3">
        <v>1610</v>
      </c>
      <c r="E300" s="3">
        <v>7093</v>
      </c>
      <c r="F300">
        <v>1428</v>
      </c>
      <c r="G300">
        <v>1137</v>
      </c>
      <c r="H300">
        <v>27</v>
      </c>
      <c r="I300" t="s">
        <v>942</v>
      </c>
      <c r="J300">
        <v>6</v>
      </c>
      <c r="K300" t="s">
        <v>952</v>
      </c>
    </row>
    <row r="301" spans="1:11" x14ac:dyDescent="0.25">
      <c r="A301" t="s">
        <v>288</v>
      </c>
      <c r="B301" t="s">
        <v>934</v>
      </c>
      <c r="C301" s="3">
        <v>2007</v>
      </c>
      <c r="D301" s="3">
        <v>-2503</v>
      </c>
      <c r="E301" s="3">
        <v>4263</v>
      </c>
      <c r="F301">
        <v>2519</v>
      </c>
      <c r="G301">
        <v>1991</v>
      </c>
      <c r="H301">
        <v>35</v>
      </c>
      <c r="I301" t="s">
        <v>938</v>
      </c>
      <c r="J301">
        <v>6</v>
      </c>
      <c r="K301" t="s">
        <v>948</v>
      </c>
    </row>
    <row r="302" spans="1:11" x14ac:dyDescent="0.25">
      <c r="A302" t="s">
        <v>289</v>
      </c>
      <c r="B302" t="s">
        <v>936</v>
      </c>
      <c r="C302" s="3">
        <v>11142</v>
      </c>
      <c r="D302" s="3">
        <v>8079</v>
      </c>
      <c r="E302" s="3">
        <v>6362</v>
      </c>
      <c r="F302">
        <v>1119</v>
      </c>
      <c r="G302">
        <v>1944</v>
      </c>
      <c r="H302">
        <v>90</v>
      </c>
      <c r="I302" t="s">
        <v>940</v>
      </c>
      <c r="J302">
        <v>1</v>
      </c>
      <c r="K302" t="s">
        <v>954</v>
      </c>
    </row>
    <row r="303" spans="1:11" x14ac:dyDescent="0.25">
      <c r="A303" t="s">
        <v>290</v>
      </c>
      <c r="B303" t="s">
        <v>937</v>
      </c>
      <c r="C303" s="3">
        <v>11994</v>
      </c>
      <c r="D303" s="3">
        <v>5790</v>
      </c>
      <c r="E303" s="3">
        <v>7423</v>
      </c>
      <c r="F303">
        <v>4335</v>
      </c>
      <c r="G303">
        <v>1869</v>
      </c>
      <c r="H303">
        <v>14</v>
      </c>
      <c r="I303" t="s">
        <v>939</v>
      </c>
      <c r="J303">
        <v>3</v>
      </c>
      <c r="K303" t="s">
        <v>950</v>
      </c>
    </row>
    <row r="304" spans="1:11" x14ac:dyDescent="0.25">
      <c r="A304" t="s">
        <v>291</v>
      </c>
      <c r="B304" t="s">
        <v>934</v>
      </c>
      <c r="C304" s="3">
        <v>3039</v>
      </c>
      <c r="D304" s="3">
        <v>-2450</v>
      </c>
      <c r="E304" s="3">
        <v>5826</v>
      </c>
      <c r="F304">
        <v>3883</v>
      </c>
      <c r="G304">
        <v>1606</v>
      </c>
      <c r="H304">
        <v>26</v>
      </c>
      <c r="I304" t="s">
        <v>938</v>
      </c>
      <c r="J304">
        <v>9</v>
      </c>
      <c r="K304" t="s">
        <v>947</v>
      </c>
    </row>
    <row r="305" spans="1:11" x14ac:dyDescent="0.25">
      <c r="A305" t="s">
        <v>292</v>
      </c>
      <c r="B305" t="s">
        <v>935</v>
      </c>
      <c r="C305" s="3">
        <v>7489</v>
      </c>
      <c r="D305" s="3">
        <v>2705</v>
      </c>
      <c r="E305" s="3">
        <v>6324</v>
      </c>
      <c r="F305">
        <v>3197</v>
      </c>
      <c r="G305">
        <v>1587</v>
      </c>
      <c r="H305">
        <v>31</v>
      </c>
      <c r="I305" t="s">
        <v>939</v>
      </c>
      <c r="J305">
        <v>1</v>
      </c>
      <c r="K305" t="s">
        <v>953</v>
      </c>
    </row>
    <row r="306" spans="1:11" x14ac:dyDescent="0.25">
      <c r="A306" t="s">
        <v>89</v>
      </c>
      <c r="B306" t="s">
        <v>934</v>
      </c>
      <c r="C306" s="3">
        <v>6661</v>
      </c>
      <c r="D306" s="3">
        <v>1713</v>
      </c>
      <c r="E306" s="3">
        <v>5073</v>
      </c>
      <c r="F306">
        <v>3401</v>
      </c>
      <c r="G306">
        <v>1547</v>
      </c>
      <c r="H306">
        <v>73</v>
      </c>
      <c r="I306" t="s">
        <v>940</v>
      </c>
      <c r="J306">
        <v>7</v>
      </c>
      <c r="K306" t="s">
        <v>943</v>
      </c>
    </row>
    <row r="307" spans="1:11" x14ac:dyDescent="0.25">
      <c r="A307" t="s">
        <v>232</v>
      </c>
      <c r="B307" t="s">
        <v>937</v>
      </c>
      <c r="C307" s="3">
        <v>2560</v>
      </c>
      <c r="D307" s="3">
        <v>-698</v>
      </c>
      <c r="E307" s="3">
        <v>9427</v>
      </c>
      <c r="F307">
        <v>2693</v>
      </c>
      <c r="G307">
        <v>565</v>
      </c>
      <c r="H307">
        <v>104</v>
      </c>
      <c r="I307" t="s">
        <v>941</v>
      </c>
      <c r="J307">
        <v>1</v>
      </c>
      <c r="K307" t="s">
        <v>949</v>
      </c>
    </row>
    <row r="308" spans="1:11" x14ac:dyDescent="0.25">
      <c r="A308" t="s">
        <v>293</v>
      </c>
      <c r="B308" t="s">
        <v>937</v>
      </c>
      <c r="C308" s="3">
        <v>10094</v>
      </c>
      <c r="D308" s="3">
        <v>6875</v>
      </c>
      <c r="E308" s="3">
        <v>6360</v>
      </c>
      <c r="F308">
        <v>2187</v>
      </c>
      <c r="G308">
        <v>1032</v>
      </c>
      <c r="H308">
        <v>48</v>
      </c>
      <c r="I308" t="s">
        <v>941</v>
      </c>
      <c r="J308">
        <v>3</v>
      </c>
      <c r="K308" t="s">
        <v>950</v>
      </c>
    </row>
    <row r="309" spans="1:11" x14ac:dyDescent="0.25">
      <c r="A309" t="s">
        <v>294</v>
      </c>
      <c r="B309" t="s">
        <v>937</v>
      </c>
      <c r="C309" s="3">
        <v>7599</v>
      </c>
      <c r="D309" s="3">
        <v>4742</v>
      </c>
      <c r="E309" s="3">
        <v>5027</v>
      </c>
      <c r="F309">
        <v>961</v>
      </c>
      <c r="G309">
        <v>1896</v>
      </c>
      <c r="H309">
        <v>92</v>
      </c>
      <c r="I309" t="s">
        <v>940</v>
      </c>
      <c r="J309">
        <v>1</v>
      </c>
      <c r="K309" t="s">
        <v>952</v>
      </c>
    </row>
    <row r="310" spans="1:11" x14ac:dyDescent="0.25">
      <c r="A310" t="s">
        <v>295</v>
      </c>
      <c r="B310" t="s">
        <v>937</v>
      </c>
      <c r="C310" s="3">
        <v>6894</v>
      </c>
      <c r="D310" s="3">
        <v>418</v>
      </c>
      <c r="E310" s="3">
        <v>7558</v>
      </c>
      <c r="F310">
        <v>4769</v>
      </c>
      <c r="G310">
        <v>1707</v>
      </c>
      <c r="H310">
        <v>73</v>
      </c>
      <c r="I310" t="s">
        <v>940</v>
      </c>
      <c r="J310">
        <v>1</v>
      </c>
      <c r="K310" t="s">
        <v>952</v>
      </c>
    </row>
    <row r="311" spans="1:11" x14ac:dyDescent="0.25">
      <c r="A311" t="s">
        <v>296</v>
      </c>
      <c r="B311" t="s">
        <v>934</v>
      </c>
      <c r="C311" s="3">
        <v>2407</v>
      </c>
      <c r="D311" s="3">
        <v>-2408</v>
      </c>
      <c r="E311" s="3">
        <v>9596</v>
      </c>
      <c r="F311">
        <v>3438</v>
      </c>
      <c r="G311">
        <v>1377</v>
      </c>
      <c r="H311">
        <v>46</v>
      </c>
      <c r="I311" t="s">
        <v>941</v>
      </c>
      <c r="J311">
        <v>4</v>
      </c>
      <c r="K311" t="s">
        <v>954</v>
      </c>
    </row>
    <row r="312" spans="1:11" x14ac:dyDescent="0.25">
      <c r="A312" t="s">
        <v>297</v>
      </c>
      <c r="B312" t="s">
        <v>935</v>
      </c>
      <c r="C312" s="3">
        <v>2558</v>
      </c>
      <c r="D312" s="3">
        <v>142</v>
      </c>
      <c r="E312" s="3">
        <v>7570</v>
      </c>
      <c r="F312">
        <v>2152</v>
      </c>
      <c r="G312">
        <v>264</v>
      </c>
      <c r="H312">
        <v>10</v>
      </c>
      <c r="I312" t="s">
        <v>942</v>
      </c>
      <c r="J312">
        <v>8</v>
      </c>
      <c r="K312" t="s">
        <v>948</v>
      </c>
    </row>
    <row r="313" spans="1:11" x14ac:dyDescent="0.25">
      <c r="A313" t="s">
        <v>298</v>
      </c>
      <c r="B313" t="s">
        <v>934</v>
      </c>
      <c r="C313" s="3">
        <v>5080</v>
      </c>
      <c r="D313" s="3">
        <v>1632</v>
      </c>
      <c r="E313" s="3">
        <v>7747</v>
      </c>
      <c r="F313">
        <v>1744</v>
      </c>
      <c r="G313">
        <v>1704</v>
      </c>
      <c r="H313">
        <v>114</v>
      </c>
      <c r="I313" t="s">
        <v>938</v>
      </c>
      <c r="J313">
        <v>10</v>
      </c>
      <c r="K313" t="s">
        <v>948</v>
      </c>
    </row>
    <row r="314" spans="1:11" x14ac:dyDescent="0.25">
      <c r="A314" t="s">
        <v>299</v>
      </c>
      <c r="B314" t="s">
        <v>934</v>
      </c>
      <c r="C314" s="3">
        <v>11705</v>
      </c>
      <c r="D314" s="3">
        <v>8456</v>
      </c>
      <c r="E314" s="3">
        <v>4349</v>
      </c>
      <c r="F314">
        <v>1325</v>
      </c>
      <c r="G314">
        <v>1924</v>
      </c>
      <c r="H314">
        <v>77</v>
      </c>
      <c r="I314" t="s">
        <v>942</v>
      </c>
      <c r="J314">
        <v>7</v>
      </c>
      <c r="K314" t="s">
        <v>949</v>
      </c>
    </row>
    <row r="315" spans="1:11" x14ac:dyDescent="0.25">
      <c r="A315" t="s">
        <v>300</v>
      </c>
      <c r="B315" t="s">
        <v>935</v>
      </c>
      <c r="C315" s="3">
        <v>3091</v>
      </c>
      <c r="D315" s="3">
        <v>1185</v>
      </c>
      <c r="E315" s="3">
        <v>8009</v>
      </c>
      <c r="F315">
        <v>966</v>
      </c>
      <c r="G315">
        <v>940</v>
      </c>
      <c r="H315">
        <v>85</v>
      </c>
      <c r="I315" t="s">
        <v>942</v>
      </c>
      <c r="J315">
        <v>6</v>
      </c>
      <c r="K315" t="s">
        <v>943</v>
      </c>
    </row>
    <row r="316" spans="1:11" x14ac:dyDescent="0.25">
      <c r="A316" t="s">
        <v>246</v>
      </c>
      <c r="B316" t="s">
        <v>937</v>
      </c>
      <c r="C316" s="3">
        <v>3918</v>
      </c>
      <c r="D316" s="3">
        <v>-2000</v>
      </c>
      <c r="E316" s="3">
        <v>9278</v>
      </c>
      <c r="F316">
        <v>4675</v>
      </c>
      <c r="G316">
        <v>1243</v>
      </c>
      <c r="H316">
        <v>11</v>
      </c>
      <c r="I316" t="s">
        <v>939</v>
      </c>
      <c r="J316">
        <v>6</v>
      </c>
      <c r="K316" t="s">
        <v>953</v>
      </c>
    </row>
    <row r="317" spans="1:11" x14ac:dyDescent="0.25">
      <c r="A317" t="s">
        <v>301</v>
      </c>
      <c r="B317" t="s">
        <v>937</v>
      </c>
      <c r="C317" s="3">
        <v>11733</v>
      </c>
      <c r="D317" s="3">
        <v>7179</v>
      </c>
      <c r="E317" s="3">
        <v>4642</v>
      </c>
      <c r="F317">
        <v>3628</v>
      </c>
      <c r="G317">
        <v>926</v>
      </c>
      <c r="H317">
        <v>95</v>
      </c>
      <c r="I317" t="s">
        <v>938</v>
      </c>
      <c r="J317">
        <v>9</v>
      </c>
      <c r="K317" t="s">
        <v>944</v>
      </c>
    </row>
    <row r="318" spans="1:11" x14ac:dyDescent="0.25">
      <c r="A318" t="s">
        <v>302</v>
      </c>
      <c r="B318" t="s">
        <v>935</v>
      </c>
      <c r="C318" s="3">
        <v>7466</v>
      </c>
      <c r="D318" s="3">
        <v>4239</v>
      </c>
      <c r="E318" s="3">
        <v>8489</v>
      </c>
      <c r="F318">
        <v>2070</v>
      </c>
      <c r="G318">
        <v>1157</v>
      </c>
      <c r="H318">
        <v>40</v>
      </c>
      <c r="I318" t="s">
        <v>938</v>
      </c>
      <c r="J318">
        <v>3</v>
      </c>
      <c r="K318" t="s">
        <v>946</v>
      </c>
    </row>
    <row r="319" spans="1:11" x14ac:dyDescent="0.25">
      <c r="A319" t="s">
        <v>303</v>
      </c>
      <c r="B319" t="s">
        <v>937</v>
      </c>
      <c r="C319" s="3">
        <v>3474</v>
      </c>
      <c r="D319" s="3">
        <v>902</v>
      </c>
      <c r="E319" s="3">
        <v>5110</v>
      </c>
      <c r="F319">
        <v>1105</v>
      </c>
      <c r="G319">
        <v>1467</v>
      </c>
      <c r="H319">
        <v>23</v>
      </c>
      <c r="I319" t="s">
        <v>941</v>
      </c>
      <c r="J319">
        <v>6</v>
      </c>
      <c r="K319" t="s">
        <v>954</v>
      </c>
    </row>
    <row r="320" spans="1:11" x14ac:dyDescent="0.25">
      <c r="A320" t="s">
        <v>304</v>
      </c>
      <c r="B320" t="s">
        <v>935</v>
      </c>
      <c r="C320" s="3">
        <v>11213</v>
      </c>
      <c r="D320" s="3">
        <v>8151</v>
      </c>
      <c r="E320" s="3">
        <v>6238</v>
      </c>
      <c r="F320">
        <v>1923</v>
      </c>
      <c r="G320">
        <v>1139</v>
      </c>
      <c r="H320">
        <v>39</v>
      </c>
      <c r="I320" t="s">
        <v>938</v>
      </c>
      <c r="J320">
        <v>4</v>
      </c>
      <c r="K320" t="s">
        <v>943</v>
      </c>
    </row>
    <row r="321" spans="1:11" x14ac:dyDescent="0.25">
      <c r="A321" t="s">
        <v>305</v>
      </c>
      <c r="B321" t="s">
        <v>935</v>
      </c>
      <c r="C321" s="3">
        <v>4852</v>
      </c>
      <c r="D321" s="3">
        <v>-101</v>
      </c>
      <c r="E321" s="3">
        <v>7271</v>
      </c>
      <c r="F321">
        <v>3991</v>
      </c>
      <c r="G321">
        <v>962</v>
      </c>
      <c r="H321">
        <v>54</v>
      </c>
      <c r="I321" t="s">
        <v>938</v>
      </c>
      <c r="J321">
        <v>10</v>
      </c>
      <c r="K321" t="s">
        <v>946</v>
      </c>
    </row>
    <row r="322" spans="1:11" x14ac:dyDescent="0.25">
      <c r="A322" t="s">
        <v>306</v>
      </c>
      <c r="B322" t="s">
        <v>936</v>
      </c>
      <c r="C322" s="3">
        <v>11133</v>
      </c>
      <c r="D322" s="3">
        <v>9147</v>
      </c>
      <c r="E322" s="3">
        <v>5678</v>
      </c>
      <c r="F322">
        <v>907</v>
      </c>
      <c r="G322">
        <v>1079</v>
      </c>
      <c r="H322">
        <v>54</v>
      </c>
      <c r="I322" t="s">
        <v>942</v>
      </c>
      <c r="J322">
        <v>2</v>
      </c>
      <c r="K322" t="s">
        <v>944</v>
      </c>
    </row>
    <row r="323" spans="1:11" x14ac:dyDescent="0.25">
      <c r="A323" t="s">
        <v>307</v>
      </c>
      <c r="B323" t="s">
        <v>936</v>
      </c>
      <c r="C323" s="3">
        <v>5192</v>
      </c>
      <c r="D323" s="3">
        <v>3038</v>
      </c>
      <c r="E323" s="3">
        <v>7232</v>
      </c>
      <c r="F323">
        <v>1542</v>
      </c>
      <c r="G323">
        <v>612</v>
      </c>
      <c r="H323">
        <v>97</v>
      </c>
      <c r="I323" t="s">
        <v>941</v>
      </c>
      <c r="J323">
        <v>6</v>
      </c>
      <c r="K323" t="s">
        <v>946</v>
      </c>
    </row>
    <row r="324" spans="1:11" x14ac:dyDescent="0.25">
      <c r="A324" t="s">
        <v>308</v>
      </c>
      <c r="B324" t="s">
        <v>935</v>
      </c>
      <c r="C324" s="3">
        <v>7291</v>
      </c>
      <c r="D324" s="3">
        <v>2083</v>
      </c>
      <c r="E324" s="3">
        <v>7231</v>
      </c>
      <c r="F324">
        <v>4271</v>
      </c>
      <c r="G324">
        <v>937</v>
      </c>
      <c r="H324">
        <v>66</v>
      </c>
      <c r="I324" t="s">
        <v>942</v>
      </c>
      <c r="J324">
        <v>5</v>
      </c>
      <c r="K324" t="s">
        <v>952</v>
      </c>
    </row>
    <row r="325" spans="1:11" x14ac:dyDescent="0.25">
      <c r="A325" t="s">
        <v>309</v>
      </c>
      <c r="B325" t="s">
        <v>934</v>
      </c>
      <c r="C325" s="3">
        <v>11450</v>
      </c>
      <c r="D325" s="3">
        <v>8818</v>
      </c>
      <c r="E325" s="3">
        <v>4479</v>
      </c>
      <c r="F325">
        <v>1729</v>
      </c>
      <c r="G325">
        <v>903</v>
      </c>
      <c r="H325">
        <v>69</v>
      </c>
      <c r="I325" t="s">
        <v>939</v>
      </c>
      <c r="J325">
        <v>9</v>
      </c>
      <c r="K325" t="s">
        <v>951</v>
      </c>
    </row>
    <row r="326" spans="1:11" x14ac:dyDescent="0.25">
      <c r="A326" t="s">
        <v>310</v>
      </c>
      <c r="B326" t="s">
        <v>937</v>
      </c>
      <c r="C326" s="3">
        <v>10517</v>
      </c>
      <c r="D326" s="3">
        <v>6179</v>
      </c>
      <c r="E326" s="3">
        <v>5990</v>
      </c>
      <c r="F326">
        <v>3491</v>
      </c>
      <c r="G326">
        <v>847</v>
      </c>
      <c r="H326">
        <v>108</v>
      </c>
      <c r="I326" t="s">
        <v>939</v>
      </c>
      <c r="J326">
        <v>8</v>
      </c>
      <c r="K326" t="s">
        <v>949</v>
      </c>
    </row>
    <row r="327" spans="1:11" x14ac:dyDescent="0.25">
      <c r="A327" t="s">
        <v>311</v>
      </c>
      <c r="B327" t="s">
        <v>936</v>
      </c>
      <c r="C327" s="3">
        <v>8811</v>
      </c>
      <c r="D327" s="3">
        <v>6872</v>
      </c>
      <c r="E327" s="3">
        <v>4676</v>
      </c>
      <c r="F327">
        <v>1139</v>
      </c>
      <c r="G327">
        <v>800</v>
      </c>
      <c r="H327">
        <v>115</v>
      </c>
      <c r="I327" t="s">
        <v>942</v>
      </c>
      <c r="J327">
        <v>3</v>
      </c>
      <c r="K327" t="s">
        <v>950</v>
      </c>
    </row>
    <row r="328" spans="1:11" x14ac:dyDescent="0.25">
      <c r="A328" t="s">
        <v>166</v>
      </c>
      <c r="B328" t="s">
        <v>936</v>
      </c>
      <c r="C328" s="3">
        <v>11361</v>
      </c>
      <c r="D328" s="3">
        <v>8682</v>
      </c>
      <c r="E328" s="3">
        <v>9137</v>
      </c>
      <c r="F328">
        <v>1737</v>
      </c>
      <c r="G328">
        <v>942</v>
      </c>
      <c r="H328">
        <v>40</v>
      </c>
      <c r="I328" t="s">
        <v>942</v>
      </c>
      <c r="J328">
        <v>3</v>
      </c>
      <c r="K328" t="s">
        <v>951</v>
      </c>
    </row>
    <row r="329" spans="1:11" x14ac:dyDescent="0.25">
      <c r="A329" t="s">
        <v>98</v>
      </c>
      <c r="B329" t="s">
        <v>935</v>
      </c>
      <c r="C329" s="3">
        <v>5240</v>
      </c>
      <c r="D329" s="3">
        <v>2048</v>
      </c>
      <c r="E329" s="3">
        <v>8372</v>
      </c>
      <c r="F329">
        <v>2174</v>
      </c>
      <c r="G329">
        <v>1018</v>
      </c>
      <c r="H329">
        <v>110</v>
      </c>
      <c r="I329" t="s">
        <v>942</v>
      </c>
      <c r="J329">
        <v>1</v>
      </c>
      <c r="K329" t="s">
        <v>945</v>
      </c>
    </row>
    <row r="330" spans="1:11" x14ac:dyDescent="0.25">
      <c r="A330" t="s">
        <v>312</v>
      </c>
      <c r="B330" t="s">
        <v>935</v>
      </c>
      <c r="C330" s="3">
        <v>7003</v>
      </c>
      <c r="D330" s="3">
        <v>677</v>
      </c>
      <c r="E330" s="3">
        <v>8582</v>
      </c>
      <c r="F330">
        <v>4664</v>
      </c>
      <c r="G330">
        <v>1662</v>
      </c>
      <c r="H330">
        <v>86</v>
      </c>
      <c r="I330" t="s">
        <v>939</v>
      </c>
      <c r="J330">
        <v>4</v>
      </c>
      <c r="K330" t="s">
        <v>944</v>
      </c>
    </row>
    <row r="331" spans="1:11" x14ac:dyDescent="0.25">
      <c r="A331" t="s">
        <v>313</v>
      </c>
      <c r="B331" t="s">
        <v>936</v>
      </c>
      <c r="C331" s="3">
        <v>11026</v>
      </c>
      <c r="D331" s="3">
        <v>5313</v>
      </c>
      <c r="E331" s="3">
        <v>4507</v>
      </c>
      <c r="F331">
        <v>3984</v>
      </c>
      <c r="G331">
        <v>1729</v>
      </c>
      <c r="H331">
        <v>91</v>
      </c>
      <c r="I331" t="s">
        <v>939</v>
      </c>
      <c r="J331">
        <v>5</v>
      </c>
      <c r="K331" t="s">
        <v>946</v>
      </c>
    </row>
    <row r="332" spans="1:11" x14ac:dyDescent="0.25">
      <c r="A332" t="s">
        <v>314</v>
      </c>
      <c r="B332" t="s">
        <v>934</v>
      </c>
      <c r="C332" s="3">
        <v>8246</v>
      </c>
      <c r="D332" s="3">
        <v>6058</v>
      </c>
      <c r="E332" s="3">
        <v>6009</v>
      </c>
      <c r="F332">
        <v>902</v>
      </c>
      <c r="G332">
        <v>1286</v>
      </c>
      <c r="H332">
        <v>119</v>
      </c>
      <c r="I332" t="s">
        <v>938</v>
      </c>
      <c r="J332">
        <v>7</v>
      </c>
      <c r="K332" t="s">
        <v>946</v>
      </c>
    </row>
    <row r="333" spans="1:11" x14ac:dyDescent="0.25">
      <c r="A333" t="s">
        <v>315</v>
      </c>
      <c r="B333" t="s">
        <v>934</v>
      </c>
      <c r="C333" s="3">
        <v>9586</v>
      </c>
      <c r="D333" s="3">
        <v>3649</v>
      </c>
      <c r="E333" s="3">
        <v>8443</v>
      </c>
      <c r="F333">
        <v>4723</v>
      </c>
      <c r="G333">
        <v>1214</v>
      </c>
      <c r="H333">
        <v>29</v>
      </c>
      <c r="I333" t="s">
        <v>938</v>
      </c>
      <c r="J333">
        <v>10</v>
      </c>
      <c r="K333" t="s">
        <v>953</v>
      </c>
    </row>
    <row r="334" spans="1:11" x14ac:dyDescent="0.25">
      <c r="A334" t="s">
        <v>220</v>
      </c>
      <c r="B334" t="s">
        <v>934</v>
      </c>
      <c r="C334" s="3">
        <v>4589</v>
      </c>
      <c r="D334" s="3">
        <v>2158</v>
      </c>
      <c r="E334" s="3">
        <v>6991</v>
      </c>
      <c r="F334">
        <v>909</v>
      </c>
      <c r="G334">
        <v>1522</v>
      </c>
      <c r="H334">
        <v>81</v>
      </c>
      <c r="I334" t="s">
        <v>941</v>
      </c>
      <c r="J334">
        <v>10</v>
      </c>
      <c r="K334" t="s">
        <v>952</v>
      </c>
    </row>
    <row r="335" spans="1:11" x14ac:dyDescent="0.25">
      <c r="A335" t="s">
        <v>316</v>
      </c>
      <c r="B335" t="s">
        <v>936</v>
      </c>
      <c r="C335" s="3">
        <v>8526</v>
      </c>
      <c r="D335" s="3">
        <v>2475</v>
      </c>
      <c r="E335" s="3">
        <v>5748</v>
      </c>
      <c r="F335">
        <v>4875</v>
      </c>
      <c r="G335">
        <v>1176</v>
      </c>
      <c r="H335">
        <v>45</v>
      </c>
      <c r="I335" t="s">
        <v>939</v>
      </c>
      <c r="J335">
        <v>7</v>
      </c>
      <c r="K335" t="s">
        <v>951</v>
      </c>
    </row>
    <row r="336" spans="1:11" x14ac:dyDescent="0.25">
      <c r="A336" t="s">
        <v>316</v>
      </c>
      <c r="B336" t="s">
        <v>934</v>
      </c>
      <c r="C336" s="3">
        <v>10321</v>
      </c>
      <c r="D336" s="3">
        <v>6052</v>
      </c>
      <c r="E336" s="3">
        <v>8729</v>
      </c>
      <c r="F336">
        <v>2448</v>
      </c>
      <c r="G336">
        <v>1821</v>
      </c>
      <c r="H336">
        <v>43</v>
      </c>
      <c r="I336" t="s">
        <v>939</v>
      </c>
      <c r="J336">
        <v>3</v>
      </c>
      <c r="K336" t="s">
        <v>951</v>
      </c>
    </row>
    <row r="337" spans="1:11" x14ac:dyDescent="0.25">
      <c r="A337" t="s">
        <v>56</v>
      </c>
      <c r="B337" t="s">
        <v>936</v>
      </c>
      <c r="C337" s="3">
        <v>8427</v>
      </c>
      <c r="D337" s="3">
        <v>6090</v>
      </c>
      <c r="E337" s="3">
        <v>5408</v>
      </c>
      <c r="F337">
        <v>1021</v>
      </c>
      <c r="G337">
        <v>1316</v>
      </c>
      <c r="H337">
        <v>100</v>
      </c>
      <c r="I337" t="s">
        <v>938</v>
      </c>
      <c r="J337">
        <v>10</v>
      </c>
      <c r="K337" t="s">
        <v>946</v>
      </c>
    </row>
    <row r="338" spans="1:11" x14ac:dyDescent="0.25">
      <c r="A338" t="s">
        <v>263</v>
      </c>
      <c r="B338" t="s">
        <v>936</v>
      </c>
      <c r="C338" s="3">
        <v>8551</v>
      </c>
      <c r="D338" s="3">
        <v>6159</v>
      </c>
      <c r="E338" s="3">
        <v>8900</v>
      </c>
      <c r="F338">
        <v>1535</v>
      </c>
      <c r="G338">
        <v>857</v>
      </c>
      <c r="H338">
        <v>34</v>
      </c>
      <c r="I338" t="s">
        <v>939</v>
      </c>
      <c r="J338">
        <v>4</v>
      </c>
      <c r="K338" t="s">
        <v>945</v>
      </c>
    </row>
    <row r="339" spans="1:11" x14ac:dyDescent="0.25">
      <c r="A339" t="s">
        <v>239</v>
      </c>
      <c r="B339" t="s">
        <v>935</v>
      </c>
      <c r="C339" s="3">
        <v>9053</v>
      </c>
      <c r="D339" s="3">
        <v>5518</v>
      </c>
      <c r="E339" s="3">
        <v>4302</v>
      </c>
      <c r="F339">
        <v>1827</v>
      </c>
      <c r="G339">
        <v>1708</v>
      </c>
      <c r="H339">
        <v>116</v>
      </c>
      <c r="I339" t="s">
        <v>940</v>
      </c>
      <c r="J339">
        <v>1</v>
      </c>
      <c r="K339" t="s">
        <v>950</v>
      </c>
    </row>
    <row r="340" spans="1:11" x14ac:dyDescent="0.25">
      <c r="A340" t="s">
        <v>317</v>
      </c>
      <c r="B340" t="s">
        <v>935</v>
      </c>
      <c r="C340" s="3">
        <v>2819</v>
      </c>
      <c r="D340" s="3">
        <v>-1568</v>
      </c>
      <c r="E340" s="3">
        <v>7716</v>
      </c>
      <c r="F340">
        <v>2503</v>
      </c>
      <c r="G340">
        <v>1884</v>
      </c>
      <c r="H340">
        <v>100</v>
      </c>
      <c r="I340" t="s">
        <v>940</v>
      </c>
      <c r="J340">
        <v>2</v>
      </c>
      <c r="K340" t="s">
        <v>947</v>
      </c>
    </row>
    <row r="341" spans="1:11" x14ac:dyDescent="0.25">
      <c r="A341" t="s">
        <v>318</v>
      </c>
      <c r="B341" t="s">
        <v>935</v>
      </c>
      <c r="C341" s="3">
        <v>9225</v>
      </c>
      <c r="D341" s="3">
        <v>2794</v>
      </c>
      <c r="E341" s="3">
        <v>4047</v>
      </c>
      <c r="F341">
        <v>4655</v>
      </c>
      <c r="G341">
        <v>1776</v>
      </c>
      <c r="H341">
        <v>87</v>
      </c>
      <c r="I341" t="s">
        <v>938</v>
      </c>
      <c r="J341">
        <v>4</v>
      </c>
      <c r="K341" t="s">
        <v>949</v>
      </c>
    </row>
    <row r="342" spans="1:11" x14ac:dyDescent="0.25">
      <c r="A342" t="s">
        <v>151</v>
      </c>
      <c r="B342" t="s">
        <v>937</v>
      </c>
      <c r="C342" s="3">
        <v>3428</v>
      </c>
      <c r="D342" s="3">
        <v>556</v>
      </c>
      <c r="E342" s="3">
        <v>5728</v>
      </c>
      <c r="F342">
        <v>1037</v>
      </c>
      <c r="G342">
        <v>1835</v>
      </c>
      <c r="H342">
        <v>86</v>
      </c>
      <c r="I342" t="s">
        <v>939</v>
      </c>
      <c r="J342">
        <v>7</v>
      </c>
      <c r="K342" t="s">
        <v>952</v>
      </c>
    </row>
    <row r="343" spans="1:11" x14ac:dyDescent="0.25">
      <c r="A343" t="s">
        <v>319</v>
      </c>
      <c r="B343" t="s">
        <v>937</v>
      </c>
      <c r="C343" s="3">
        <v>7661</v>
      </c>
      <c r="D343" s="3">
        <v>1753</v>
      </c>
      <c r="E343" s="3">
        <v>7423</v>
      </c>
      <c r="F343">
        <v>4242</v>
      </c>
      <c r="G343">
        <v>1666</v>
      </c>
      <c r="H343">
        <v>38</v>
      </c>
      <c r="I343" t="s">
        <v>938</v>
      </c>
      <c r="J343">
        <v>6</v>
      </c>
      <c r="K343" t="s">
        <v>952</v>
      </c>
    </row>
    <row r="344" spans="1:11" x14ac:dyDescent="0.25">
      <c r="A344" t="s">
        <v>320</v>
      </c>
      <c r="B344" t="s">
        <v>936</v>
      </c>
      <c r="C344" s="3">
        <v>8611</v>
      </c>
      <c r="D344" s="3">
        <v>2089</v>
      </c>
      <c r="E344" s="3">
        <v>6617</v>
      </c>
      <c r="F344">
        <v>4642</v>
      </c>
      <c r="G344">
        <v>1880</v>
      </c>
      <c r="H344">
        <v>78</v>
      </c>
      <c r="I344" t="s">
        <v>940</v>
      </c>
      <c r="J344">
        <v>4</v>
      </c>
      <c r="K344" t="s">
        <v>947</v>
      </c>
    </row>
    <row r="345" spans="1:11" x14ac:dyDescent="0.25">
      <c r="A345" t="s">
        <v>321</v>
      </c>
      <c r="B345" t="s">
        <v>936</v>
      </c>
      <c r="C345" s="3">
        <v>6409</v>
      </c>
      <c r="D345" s="3">
        <v>4277</v>
      </c>
      <c r="E345" s="3">
        <v>9697</v>
      </c>
      <c r="F345">
        <v>1685</v>
      </c>
      <c r="G345">
        <v>447</v>
      </c>
      <c r="H345">
        <v>11</v>
      </c>
      <c r="I345" t="s">
        <v>941</v>
      </c>
      <c r="J345">
        <v>8</v>
      </c>
      <c r="K345" t="s">
        <v>947</v>
      </c>
    </row>
    <row r="346" spans="1:11" x14ac:dyDescent="0.25">
      <c r="A346" t="s">
        <v>322</v>
      </c>
      <c r="B346" t="s">
        <v>936</v>
      </c>
      <c r="C346" s="3">
        <v>4521</v>
      </c>
      <c r="D346" s="3">
        <v>-213</v>
      </c>
      <c r="E346" s="3">
        <v>7188</v>
      </c>
      <c r="F346">
        <v>4464</v>
      </c>
      <c r="G346">
        <v>270</v>
      </c>
      <c r="H346">
        <v>102</v>
      </c>
      <c r="I346" t="s">
        <v>940</v>
      </c>
      <c r="J346">
        <v>9</v>
      </c>
      <c r="K346" t="s">
        <v>948</v>
      </c>
    </row>
    <row r="347" spans="1:11" x14ac:dyDescent="0.25">
      <c r="A347" t="s">
        <v>264</v>
      </c>
      <c r="B347" t="s">
        <v>934</v>
      </c>
      <c r="C347" s="3">
        <v>8137</v>
      </c>
      <c r="D347" s="3">
        <v>3978</v>
      </c>
      <c r="E347" s="3">
        <v>7774</v>
      </c>
      <c r="F347">
        <v>2725</v>
      </c>
      <c r="G347">
        <v>1434</v>
      </c>
      <c r="H347">
        <v>37</v>
      </c>
      <c r="I347" t="s">
        <v>941</v>
      </c>
      <c r="J347">
        <v>8</v>
      </c>
      <c r="K347" t="s">
        <v>949</v>
      </c>
    </row>
    <row r="348" spans="1:11" x14ac:dyDescent="0.25">
      <c r="A348" t="s">
        <v>323</v>
      </c>
      <c r="B348" t="s">
        <v>936</v>
      </c>
      <c r="C348" s="3">
        <v>7021</v>
      </c>
      <c r="D348" s="3">
        <v>5226</v>
      </c>
      <c r="E348" s="3">
        <v>8974</v>
      </c>
      <c r="F348">
        <v>1392</v>
      </c>
      <c r="G348">
        <v>403</v>
      </c>
      <c r="H348">
        <v>59</v>
      </c>
      <c r="I348" t="s">
        <v>942</v>
      </c>
      <c r="J348">
        <v>10</v>
      </c>
      <c r="K348" t="s">
        <v>952</v>
      </c>
    </row>
    <row r="349" spans="1:11" x14ac:dyDescent="0.25">
      <c r="A349" t="s">
        <v>324</v>
      </c>
      <c r="B349" t="s">
        <v>937</v>
      </c>
      <c r="C349" s="3">
        <v>2573</v>
      </c>
      <c r="D349" s="3">
        <v>-3888</v>
      </c>
      <c r="E349" s="3">
        <v>9576</v>
      </c>
      <c r="F349">
        <v>4994</v>
      </c>
      <c r="G349">
        <v>1467</v>
      </c>
      <c r="H349">
        <v>86</v>
      </c>
      <c r="I349" t="s">
        <v>938</v>
      </c>
      <c r="J349">
        <v>8</v>
      </c>
      <c r="K349" t="s">
        <v>945</v>
      </c>
    </row>
    <row r="350" spans="1:11" x14ac:dyDescent="0.25">
      <c r="A350" t="s">
        <v>325</v>
      </c>
      <c r="B350" t="s">
        <v>937</v>
      </c>
      <c r="C350" s="3">
        <v>11806</v>
      </c>
      <c r="D350" s="3">
        <v>7804</v>
      </c>
      <c r="E350" s="3">
        <v>8046</v>
      </c>
      <c r="F350">
        <v>3509</v>
      </c>
      <c r="G350">
        <v>493</v>
      </c>
      <c r="H350">
        <v>70</v>
      </c>
      <c r="I350" t="s">
        <v>938</v>
      </c>
      <c r="J350">
        <v>3</v>
      </c>
      <c r="K350" t="s">
        <v>952</v>
      </c>
    </row>
    <row r="351" spans="1:11" x14ac:dyDescent="0.25">
      <c r="A351" t="s">
        <v>326</v>
      </c>
      <c r="B351" t="s">
        <v>934</v>
      </c>
      <c r="C351" s="3">
        <v>6470</v>
      </c>
      <c r="D351" s="3">
        <v>4256</v>
      </c>
      <c r="E351" s="3">
        <v>6110</v>
      </c>
      <c r="F351">
        <v>1584</v>
      </c>
      <c r="G351">
        <v>630</v>
      </c>
      <c r="H351">
        <v>81</v>
      </c>
      <c r="I351" t="s">
        <v>942</v>
      </c>
      <c r="J351">
        <v>3</v>
      </c>
      <c r="K351" t="s">
        <v>949</v>
      </c>
    </row>
    <row r="352" spans="1:11" x14ac:dyDescent="0.25">
      <c r="A352" t="s">
        <v>189</v>
      </c>
      <c r="B352" t="s">
        <v>937</v>
      </c>
      <c r="C352" s="3">
        <v>3582</v>
      </c>
      <c r="D352" s="3">
        <v>840</v>
      </c>
      <c r="E352" s="3">
        <v>8056</v>
      </c>
      <c r="F352">
        <v>2290</v>
      </c>
      <c r="G352">
        <v>452</v>
      </c>
      <c r="H352">
        <v>27</v>
      </c>
      <c r="I352" t="s">
        <v>939</v>
      </c>
      <c r="J352">
        <v>3</v>
      </c>
      <c r="K352" t="s">
        <v>950</v>
      </c>
    </row>
    <row r="353" spans="1:11" x14ac:dyDescent="0.25">
      <c r="A353" t="s">
        <v>327</v>
      </c>
      <c r="B353" t="s">
        <v>937</v>
      </c>
      <c r="C353" s="3">
        <v>5561</v>
      </c>
      <c r="D353" s="3">
        <v>58</v>
      </c>
      <c r="E353" s="3">
        <v>7131</v>
      </c>
      <c r="F353">
        <v>4069</v>
      </c>
      <c r="G353">
        <v>1434</v>
      </c>
      <c r="H353">
        <v>37</v>
      </c>
      <c r="I353" t="s">
        <v>940</v>
      </c>
      <c r="J353">
        <v>5</v>
      </c>
      <c r="K353" t="s">
        <v>951</v>
      </c>
    </row>
    <row r="354" spans="1:11" x14ac:dyDescent="0.25">
      <c r="A354" t="s">
        <v>328</v>
      </c>
      <c r="B354" t="s">
        <v>937</v>
      </c>
      <c r="C354" s="3">
        <v>5768</v>
      </c>
      <c r="D354" s="3">
        <v>-450</v>
      </c>
      <c r="E354" s="3">
        <v>9406</v>
      </c>
      <c r="F354">
        <v>4350</v>
      </c>
      <c r="G354">
        <v>1868</v>
      </c>
      <c r="H354">
        <v>82</v>
      </c>
      <c r="I354" t="s">
        <v>938</v>
      </c>
      <c r="J354">
        <v>3</v>
      </c>
      <c r="K354" t="s">
        <v>953</v>
      </c>
    </row>
    <row r="355" spans="1:11" x14ac:dyDescent="0.25">
      <c r="A355" t="s">
        <v>329</v>
      </c>
      <c r="B355" t="s">
        <v>936</v>
      </c>
      <c r="C355" s="3">
        <v>8751</v>
      </c>
      <c r="D355" s="3">
        <v>3715</v>
      </c>
      <c r="E355" s="3">
        <v>8254</v>
      </c>
      <c r="F355">
        <v>3049</v>
      </c>
      <c r="G355">
        <v>1987</v>
      </c>
      <c r="H355">
        <v>12</v>
      </c>
      <c r="I355" t="s">
        <v>941</v>
      </c>
      <c r="J355">
        <v>2</v>
      </c>
      <c r="K355" t="s">
        <v>949</v>
      </c>
    </row>
    <row r="356" spans="1:11" x14ac:dyDescent="0.25">
      <c r="A356" t="s">
        <v>330</v>
      </c>
      <c r="B356" t="s">
        <v>937</v>
      </c>
      <c r="C356" s="3">
        <v>6545</v>
      </c>
      <c r="D356" s="3">
        <v>539</v>
      </c>
      <c r="E356" s="3">
        <v>4649</v>
      </c>
      <c r="F356">
        <v>4496</v>
      </c>
      <c r="G356">
        <v>1510</v>
      </c>
      <c r="H356">
        <v>71</v>
      </c>
      <c r="I356" t="s">
        <v>942</v>
      </c>
      <c r="J356">
        <v>10</v>
      </c>
      <c r="K356" t="s">
        <v>946</v>
      </c>
    </row>
    <row r="357" spans="1:11" x14ac:dyDescent="0.25">
      <c r="A357" t="s">
        <v>331</v>
      </c>
      <c r="B357" t="s">
        <v>935</v>
      </c>
      <c r="C357" s="3">
        <v>8571</v>
      </c>
      <c r="D357" s="3">
        <v>6038</v>
      </c>
      <c r="E357" s="3">
        <v>8875</v>
      </c>
      <c r="F357">
        <v>1021</v>
      </c>
      <c r="G357">
        <v>1512</v>
      </c>
      <c r="H357">
        <v>113</v>
      </c>
      <c r="I357" t="s">
        <v>938</v>
      </c>
      <c r="J357">
        <v>4</v>
      </c>
      <c r="K357" t="s">
        <v>951</v>
      </c>
    </row>
    <row r="358" spans="1:11" x14ac:dyDescent="0.25">
      <c r="A358" t="s">
        <v>332</v>
      </c>
      <c r="B358" t="s">
        <v>936</v>
      </c>
      <c r="C358" s="3">
        <v>3919</v>
      </c>
      <c r="D358" s="3">
        <v>84</v>
      </c>
      <c r="E358" s="3">
        <v>6314</v>
      </c>
      <c r="F358">
        <v>3046</v>
      </c>
      <c r="G358">
        <v>789</v>
      </c>
      <c r="H358">
        <v>23</v>
      </c>
      <c r="I358" t="s">
        <v>941</v>
      </c>
      <c r="J358">
        <v>1</v>
      </c>
      <c r="K358" t="s">
        <v>947</v>
      </c>
    </row>
    <row r="359" spans="1:11" x14ac:dyDescent="0.25">
      <c r="A359" t="s">
        <v>333</v>
      </c>
      <c r="B359" t="s">
        <v>935</v>
      </c>
      <c r="C359" s="3">
        <v>7578</v>
      </c>
      <c r="D359" s="3">
        <v>5940</v>
      </c>
      <c r="E359" s="3">
        <v>8348</v>
      </c>
      <c r="F359">
        <v>1410</v>
      </c>
      <c r="G359">
        <v>228</v>
      </c>
      <c r="H359">
        <v>61</v>
      </c>
      <c r="I359" t="s">
        <v>940</v>
      </c>
      <c r="J359">
        <v>7</v>
      </c>
      <c r="K359" t="s">
        <v>948</v>
      </c>
    </row>
    <row r="360" spans="1:11" x14ac:dyDescent="0.25">
      <c r="A360" t="s">
        <v>334</v>
      </c>
      <c r="B360" t="s">
        <v>935</v>
      </c>
      <c r="C360" s="3">
        <v>11557</v>
      </c>
      <c r="D360" s="3">
        <v>7509</v>
      </c>
      <c r="E360" s="3">
        <v>4999</v>
      </c>
      <c r="F360">
        <v>2844</v>
      </c>
      <c r="G360">
        <v>1204</v>
      </c>
      <c r="H360">
        <v>32</v>
      </c>
      <c r="I360" t="s">
        <v>941</v>
      </c>
      <c r="J360">
        <v>9</v>
      </c>
      <c r="K360" t="s">
        <v>954</v>
      </c>
    </row>
    <row r="361" spans="1:11" x14ac:dyDescent="0.25">
      <c r="A361" t="s">
        <v>335</v>
      </c>
      <c r="B361" t="s">
        <v>936</v>
      </c>
      <c r="C361" s="3">
        <v>7628</v>
      </c>
      <c r="D361" s="3">
        <v>1697</v>
      </c>
      <c r="E361" s="3">
        <v>8047</v>
      </c>
      <c r="F361">
        <v>4259</v>
      </c>
      <c r="G361">
        <v>1672</v>
      </c>
      <c r="H361">
        <v>83</v>
      </c>
      <c r="I361" t="s">
        <v>941</v>
      </c>
      <c r="J361">
        <v>6</v>
      </c>
      <c r="K361" t="s">
        <v>946</v>
      </c>
    </row>
    <row r="362" spans="1:11" x14ac:dyDescent="0.25">
      <c r="A362" t="s">
        <v>336</v>
      </c>
      <c r="B362" t="s">
        <v>934</v>
      </c>
      <c r="C362" s="3">
        <v>2828</v>
      </c>
      <c r="D362" s="3">
        <v>788</v>
      </c>
      <c r="E362" s="3">
        <v>9262</v>
      </c>
      <c r="F362">
        <v>1032</v>
      </c>
      <c r="G362">
        <v>1008</v>
      </c>
      <c r="H362">
        <v>56</v>
      </c>
      <c r="I362" t="s">
        <v>938</v>
      </c>
      <c r="J362">
        <v>8</v>
      </c>
      <c r="K362" t="s">
        <v>951</v>
      </c>
    </row>
    <row r="363" spans="1:11" x14ac:dyDescent="0.25">
      <c r="A363" t="s">
        <v>282</v>
      </c>
      <c r="B363" t="s">
        <v>936</v>
      </c>
      <c r="C363" s="3">
        <v>11051</v>
      </c>
      <c r="D363" s="3">
        <v>9447</v>
      </c>
      <c r="E363" s="3">
        <v>7369</v>
      </c>
      <c r="F363">
        <v>1210</v>
      </c>
      <c r="G363">
        <v>394</v>
      </c>
      <c r="H363">
        <v>102</v>
      </c>
      <c r="I363" t="s">
        <v>939</v>
      </c>
      <c r="J363">
        <v>6</v>
      </c>
      <c r="K363" t="s">
        <v>951</v>
      </c>
    </row>
    <row r="364" spans="1:11" x14ac:dyDescent="0.25">
      <c r="A364" t="s">
        <v>337</v>
      </c>
      <c r="B364" t="s">
        <v>936</v>
      </c>
      <c r="C364" s="3">
        <v>3045</v>
      </c>
      <c r="D364" s="3">
        <v>-1317</v>
      </c>
      <c r="E364" s="3">
        <v>6947</v>
      </c>
      <c r="F364">
        <v>2431</v>
      </c>
      <c r="G364">
        <v>1931</v>
      </c>
      <c r="H364">
        <v>52</v>
      </c>
      <c r="I364" t="s">
        <v>941</v>
      </c>
      <c r="J364">
        <v>8</v>
      </c>
      <c r="K364" t="s">
        <v>954</v>
      </c>
    </row>
    <row r="365" spans="1:11" x14ac:dyDescent="0.25">
      <c r="A365" t="s">
        <v>90</v>
      </c>
      <c r="B365" t="s">
        <v>936</v>
      </c>
      <c r="C365" s="3">
        <v>7616</v>
      </c>
      <c r="D365" s="3">
        <v>1279</v>
      </c>
      <c r="E365" s="3">
        <v>8133</v>
      </c>
      <c r="F365">
        <v>4350</v>
      </c>
      <c r="G365">
        <v>1987</v>
      </c>
      <c r="H365">
        <v>68</v>
      </c>
      <c r="I365" t="s">
        <v>938</v>
      </c>
      <c r="J365">
        <v>7</v>
      </c>
      <c r="K365" t="s">
        <v>950</v>
      </c>
    </row>
    <row r="366" spans="1:11" x14ac:dyDescent="0.25">
      <c r="A366" t="s">
        <v>338</v>
      </c>
      <c r="B366" t="s">
        <v>935</v>
      </c>
      <c r="C366" s="3">
        <v>7926</v>
      </c>
      <c r="D366" s="3">
        <v>6240</v>
      </c>
      <c r="E366" s="3">
        <v>5922</v>
      </c>
      <c r="F366">
        <v>832</v>
      </c>
      <c r="G366">
        <v>854</v>
      </c>
      <c r="H366">
        <v>44</v>
      </c>
      <c r="I366" t="s">
        <v>940</v>
      </c>
      <c r="J366">
        <v>7</v>
      </c>
      <c r="K366" t="s">
        <v>948</v>
      </c>
    </row>
    <row r="367" spans="1:11" x14ac:dyDescent="0.25">
      <c r="A367" t="s">
        <v>174</v>
      </c>
      <c r="B367" t="s">
        <v>934</v>
      </c>
      <c r="C367" s="3">
        <v>2888</v>
      </c>
      <c r="D367" s="3">
        <v>-2323</v>
      </c>
      <c r="E367" s="3">
        <v>6295</v>
      </c>
      <c r="F367">
        <v>3696</v>
      </c>
      <c r="G367">
        <v>1515</v>
      </c>
      <c r="H367">
        <v>110</v>
      </c>
      <c r="I367" t="s">
        <v>938</v>
      </c>
      <c r="J367">
        <v>9</v>
      </c>
      <c r="K367" t="s">
        <v>954</v>
      </c>
    </row>
    <row r="368" spans="1:11" x14ac:dyDescent="0.25">
      <c r="A368" t="s">
        <v>39</v>
      </c>
      <c r="B368" t="s">
        <v>934</v>
      </c>
      <c r="C368" s="3">
        <v>4896</v>
      </c>
      <c r="D368" s="3">
        <v>127</v>
      </c>
      <c r="E368" s="3">
        <v>7308</v>
      </c>
      <c r="F368">
        <v>3953</v>
      </c>
      <c r="G368">
        <v>816</v>
      </c>
      <c r="H368">
        <v>38</v>
      </c>
      <c r="I368" t="s">
        <v>939</v>
      </c>
      <c r="J368">
        <v>10</v>
      </c>
      <c r="K368" t="s">
        <v>945</v>
      </c>
    </row>
    <row r="369" spans="1:11" x14ac:dyDescent="0.25">
      <c r="A369" t="s">
        <v>339</v>
      </c>
      <c r="B369" t="s">
        <v>935</v>
      </c>
      <c r="C369" s="3">
        <v>6293</v>
      </c>
      <c r="D369" s="3">
        <v>4255</v>
      </c>
      <c r="E369" s="3">
        <v>6421</v>
      </c>
      <c r="F369">
        <v>1732</v>
      </c>
      <c r="G369">
        <v>306</v>
      </c>
      <c r="H369">
        <v>21</v>
      </c>
      <c r="I369" t="s">
        <v>942</v>
      </c>
      <c r="J369">
        <v>8</v>
      </c>
      <c r="K369" t="s">
        <v>949</v>
      </c>
    </row>
    <row r="370" spans="1:11" x14ac:dyDescent="0.25">
      <c r="A370" t="s">
        <v>340</v>
      </c>
      <c r="B370" t="s">
        <v>935</v>
      </c>
      <c r="C370" s="3">
        <v>5338</v>
      </c>
      <c r="D370" s="3">
        <v>1546</v>
      </c>
      <c r="E370" s="3">
        <v>9639</v>
      </c>
      <c r="F370">
        <v>3153</v>
      </c>
      <c r="G370">
        <v>639</v>
      </c>
      <c r="H370">
        <v>114</v>
      </c>
      <c r="I370" t="s">
        <v>939</v>
      </c>
      <c r="J370">
        <v>7</v>
      </c>
      <c r="K370" t="s">
        <v>945</v>
      </c>
    </row>
    <row r="371" spans="1:11" x14ac:dyDescent="0.25">
      <c r="A371" t="s">
        <v>341</v>
      </c>
      <c r="B371" t="s">
        <v>937</v>
      </c>
      <c r="C371" s="3">
        <v>4734</v>
      </c>
      <c r="D371" s="3">
        <v>-718</v>
      </c>
      <c r="E371" s="3">
        <v>7383</v>
      </c>
      <c r="F371">
        <v>3849</v>
      </c>
      <c r="G371">
        <v>1603</v>
      </c>
      <c r="H371">
        <v>41</v>
      </c>
      <c r="I371" t="s">
        <v>939</v>
      </c>
      <c r="J371">
        <v>3</v>
      </c>
      <c r="K371" t="s">
        <v>944</v>
      </c>
    </row>
    <row r="372" spans="1:11" x14ac:dyDescent="0.25">
      <c r="A372" t="s">
        <v>213</v>
      </c>
      <c r="B372" t="s">
        <v>936</v>
      </c>
      <c r="C372" s="3">
        <v>5828</v>
      </c>
      <c r="D372" s="3">
        <v>2680</v>
      </c>
      <c r="E372" s="3">
        <v>7633</v>
      </c>
      <c r="F372">
        <v>2411</v>
      </c>
      <c r="G372">
        <v>737</v>
      </c>
      <c r="H372">
        <v>53</v>
      </c>
      <c r="I372" t="s">
        <v>939</v>
      </c>
      <c r="J372">
        <v>4</v>
      </c>
      <c r="K372" t="s">
        <v>952</v>
      </c>
    </row>
    <row r="373" spans="1:11" x14ac:dyDescent="0.25">
      <c r="A373" t="s">
        <v>342</v>
      </c>
      <c r="B373" t="s">
        <v>937</v>
      </c>
      <c r="C373" s="3">
        <v>10776</v>
      </c>
      <c r="D373" s="3">
        <v>6747</v>
      </c>
      <c r="E373" s="3">
        <v>9422</v>
      </c>
      <c r="F373">
        <v>2920</v>
      </c>
      <c r="G373">
        <v>1109</v>
      </c>
      <c r="H373">
        <v>103</v>
      </c>
      <c r="I373" t="s">
        <v>939</v>
      </c>
      <c r="J373">
        <v>6</v>
      </c>
      <c r="K373" t="s">
        <v>954</v>
      </c>
    </row>
    <row r="374" spans="1:11" x14ac:dyDescent="0.25">
      <c r="A374" t="s">
        <v>343</v>
      </c>
      <c r="B374" t="s">
        <v>935</v>
      </c>
      <c r="C374" s="3">
        <v>6894</v>
      </c>
      <c r="D374" s="3">
        <v>1522</v>
      </c>
      <c r="E374" s="3">
        <v>7883</v>
      </c>
      <c r="F374">
        <v>4319</v>
      </c>
      <c r="G374">
        <v>1053</v>
      </c>
      <c r="H374">
        <v>102</v>
      </c>
      <c r="I374" t="s">
        <v>942</v>
      </c>
      <c r="J374">
        <v>9</v>
      </c>
      <c r="K374" t="s">
        <v>949</v>
      </c>
    </row>
    <row r="375" spans="1:11" x14ac:dyDescent="0.25">
      <c r="A375" t="s">
        <v>344</v>
      </c>
      <c r="B375" t="s">
        <v>935</v>
      </c>
      <c r="C375" s="3">
        <v>3964</v>
      </c>
      <c r="D375" s="3">
        <v>1734</v>
      </c>
      <c r="E375" s="3">
        <v>7654</v>
      </c>
      <c r="F375">
        <v>1848</v>
      </c>
      <c r="G375">
        <v>382</v>
      </c>
      <c r="H375">
        <v>78</v>
      </c>
      <c r="I375" t="s">
        <v>938</v>
      </c>
      <c r="J375">
        <v>8</v>
      </c>
      <c r="K375" t="s">
        <v>948</v>
      </c>
    </row>
    <row r="376" spans="1:11" x14ac:dyDescent="0.25">
      <c r="A376" t="s">
        <v>345</v>
      </c>
      <c r="B376" t="s">
        <v>936</v>
      </c>
      <c r="C376" s="3">
        <v>2474</v>
      </c>
      <c r="D376" s="3">
        <v>-1567</v>
      </c>
      <c r="E376" s="3">
        <v>7166</v>
      </c>
      <c r="F376">
        <v>3537</v>
      </c>
      <c r="G376">
        <v>504</v>
      </c>
      <c r="H376">
        <v>92</v>
      </c>
      <c r="I376" t="s">
        <v>942</v>
      </c>
      <c r="J376">
        <v>2</v>
      </c>
      <c r="K376" t="s">
        <v>944</v>
      </c>
    </row>
    <row r="377" spans="1:11" x14ac:dyDescent="0.25">
      <c r="A377" t="s">
        <v>346</v>
      </c>
      <c r="B377" t="s">
        <v>937</v>
      </c>
      <c r="C377" s="3">
        <v>10759</v>
      </c>
      <c r="D377" s="3">
        <v>5182</v>
      </c>
      <c r="E377" s="3">
        <v>7478</v>
      </c>
      <c r="F377">
        <v>4474</v>
      </c>
      <c r="G377">
        <v>1103</v>
      </c>
      <c r="H377">
        <v>96</v>
      </c>
      <c r="I377" t="s">
        <v>940</v>
      </c>
      <c r="J377">
        <v>7</v>
      </c>
      <c r="K377" t="s">
        <v>950</v>
      </c>
    </row>
    <row r="378" spans="1:11" x14ac:dyDescent="0.25">
      <c r="A378" t="s">
        <v>224</v>
      </c>
      <c r="B378" t="s">
        <v>937</v>
      </c>
      <c r="C378" s="3">
        <v>4945</v>
      </c>
      <c r="D378" s="3">
        <v>1609</v>
      </c>
      <c r="E378" s="3">
        <v>8780</v>
      </c>
      <c r="F378">
        <v>2276</v>
      </c>
      <c r="G378">
        <v>1060</v>
      </c>
      <c r="H378">
        <v>97</v>
      </c>
      <c r="I378" t="s">
        <v>938</v>
      </c>
      <c r="J378">
        <v>2</v>
      </c>
      <c r="K378" t="s">
        <v>949</v>
      </c>
    </row>
    <row r="379" spans="1:11" x14ac:dyDescent="0.25">
      <c r="A379" t="s">
        <v>110</v>
      </c>
      <c r="B379" t="s">
        <v>937</v>
      </c>
      <c r="C379" s="3">
        <v>5721</v>
      </c>
      <c r="D379" s="3">
        <v>29</v>
      </c>
      <c r="E379" s="3">
        <v>4017</v>
      </c>
      <c r="F379">
        <v>4024</v>
      </c>
      <c r="G379">
        <v>1668</v>
      </c>
      <c r="H379">
        <v>16</v>
      </c>
      <c r="I379" t="s">
        <v>938</v>
      </c>
      <c r="J379">
        <v>7</v>
      </c>
      <c r="K379" t="s">
        <v>945</v>
      </c>
    </row>
    <row r="380" spans="1:11" x14ac:dyDescent="0.25">
      <c r="A380" t="s">
        <v>347</v>
      </c>
      <c r="B380" t="s">
        <v>934</v>
      </c>
      <c r="C380" s="3">
        <v>4067</v>
      </c>
      <c r="D380" s="3">
        <v>406</v>
      </c>
      <c r="E380" s="3">
        <v>7336</v>
      </c>
      <c r="F380">
        <v>2231</v>
      </c>
      <c r="G380">
        <v>1430</v>
      </c>
      <c r="H380">
        <v>96</v>
      </c>
      <c r="I380" t="s">
        <v>940</v>
      </c>
      <c r="J380">
        <v>8</v>
      </c>
      <c r="K380" t="s">
        <v>949</v>
      </c>
    </row>
    <row r="381" spans="1:11" x14ac:dyDescent="0.25">
      <c r="A381" t="s">
        <v>348</v>
      </c>
      <c r="B381" t="s">
        <v>934</v>
      </c>
      <c r="C381" s="3">
        <v>5979</v>
      </c>
      <c r="D381" s="3">
        <v>3703</v>
      </c>
      <c r="E381" s="3">
        <v>8953</v>
      </c>
      <c r="F381">
        <v>1800</v>
      </c>
      <c r="G381">
        <v>476</v>
      </c>
      <c r="H381">
        <v>91</v>
      </c>
      <c r="I381" t="s">
        <v>941</v>
      </c>
      <c r="J381">
        <v>1</v>
      </c>
      <c r="K381" t="s">
        <v>951</v>
      </c>
    </row>
    <row r="382" spans="1:11" x14ac:dyDescent="0.25">
      <c r="A382" t="s">
        <v>349</v>
      </c>
      <c r="B382" t="s">
        <v>937</v>
      </c>
      <c r="C382" s="3">
        <v>10054</v>
      </c>
      <c r="D382" s="3">
        <v>8495</v>
      </c>
      <c r="E382" s="3">
        <v>4563</v>
      </c>
      <c r="F382">
        <v>1302</v>
      </c>
      <c r="G382">
        <v>257</v>
      </c>
      <c r="H382">
        <v>42</v>
      </c>
      <c r="I382" t="s">
        <v>942</v>
      </c>
      <c r="J382">
        <v>4</v>
      </c>
      <c r="K382" t="s">
        <v>944</v>
      </c>
    </row>
    <row r="383" spans="1:11" x14ac:dyDescent="0.25">
      <c r="A383" t="s">
        <v>350</v>
      </c>
      <c r="B383" t="s">
        <v>936</v>
      </c>
      <c r="C383" s="3">
        <v>10309</v>
      </c>
      <c r="D383" s="3">
        <v>3837</v>
      </c>
      <c r="E383" s="3">
        <v>8921</v>
      </c>
      <c r="F383">
        <v>4991</v>
      </c>
      <c r="G383">
        <v>1481</v>
      </c>
      <c r="H383">
        <v>110</v>
      </c>
      <c r="I383" t="s">
        <v>940</v>
      </c>
      <c r="J383">
        <v>5</v>
      </c>
      <c r="K383" t="s">
        <v>946</v>
      </c>
    </row>
    <row r="384" spans="1:11" x14ac:dyDescent="0.25">
      <c r="A384" t="s">
        <v>351</v>
      </c>
      <c r="B384" t="s">
        <v>937</v>
      </c>
      <c r="C384" s="3">
        <v>6496</v>
      </c>
      <c r="D384" s="3">
        <v>4774</v>
      </c>
      <c r="E384" s="3">
        <v>9337</v>
      </c>
      <c r="F384">
        <v>1491</v>
      </c>
      <c r="G384">
        <v>231</v>
      </c>
      <c r="H384">
        <v>99</v>
      </c>
      <c r="I384" t="s">
        <v>940</v>
      </c>
      <c r="J384">
        <v>3</v>
      </c>
      <c r="K384" t="s">
        <v>949</v>
      </c>
    </row>
    <row r="385" spans="1:11" x14ac:dyDescent="0.25">
      <c r="A385" t="s">
        <v>352</v>
      </c>
      <c r="B385" t="s">
        <v>936</v>
      </c>
      <c r="C385" s="3">
        <v>2719</v>
      </c>
      <c r="D385" s="3">
        <v>-1624</v>
      </c>
      <c r="E385" s="3">
        <v>9550</v>
      </c>
      <c r="F385">
        <v>4118</v>
      </c>
      <c r="G385">
        <v>225</v>
      </c>
      <c r="H385">
        <v>25</v>
      </c>
      <c r="I385" t="s">
        <v>940</v>
      </c>
      <c r="J385">
        <v>5</v>
      </c>
      <c r="K385" t="s">
        <v>950</v>
      </c>
    </row>
    <row r="386" spans="1:11" x14ac:dyDescent="0.25">
      <c r="A386" t="s">
        <v>353</v>
      </c>
      <c r="B386" t="s">
        <v>935</v>
      </c>
      <c r="C386" s="3">
        <v>8937</v>
      </c>
      <c r="D386" s="3">
        <v>5173</v>
      </c>
      <c r="E386" s="3">
        <v>5828</v>
      </c>
      <c r="F386">
        <v>1936</v>
      </c>
      <c r="G386">
        <v>1828</v>
      </c>
      <c r="H386">
        <v>51</v>
      </c>
      <c r="I386" t="s">
        <v>941</v>
      </c>
      <c r="J386">
        <v>10</v>
      </c>
      <c r="K386" t="s">
        <v>948</v>
      </c>
    </row>
    <row r="387" spans="1:11" x14ac:dyDescent="0.25">
      <c r="A387" t="s">
        <v>354</v>
      </c>
      <c r="B387" t="s">
        <v>934</v>
      </c>
      <c r="C387" s="3">
        <v>9139</v>
      </c>
      <c r="D387" s="3">
        <v>5387</v>
      </c>
      <c r="E387" s="3">
        <v>9282</v>
      </c>
      <c r="F387">
        <v>3344</v>
      </c>
      <c r="G387">
        <v>408</v>
      </c>
      <c r="H387">
        <v>44</v>
      </c>
      <c r="I387" t="s">
        <v>938</v>
      </c>
      <c r="J387">
        <v>8</v>
      </c>
      <c r="K387" t="s">
        <v>947</v>
      </c>
    </row>
    <row r="388" spans="1:11" x14ac:dyDescent="0.25">
      <c r="A388" t="s">
        <v>355</v>
      </c>
      <c r="B388" t="s">
        <v>935</v>
      </c>
      <c r="C388" s="3">
        <v>2791</v>
      </c>
      <c r="D388" s="3">
        <v>-1469</v>
      </c>
      <c r="E388" s="3">
        <v>9985</v>
      </c>
      <c r="F388">
        <v>2999</v>
      </c>
      <c r="G388">
        <v>1261</v>
      </c>
      <c r="H388">
        <v>104</v>
      </c>
      <c r="I388" t="s">
        <v>941</v>
      </c>
      <c r="J388">
        <v>9</v>
      </c>
      <c r="K388" t="s">
        <v>953</v>
      </c>
    </row>
    <row r="389" spans="1:11" x14ac:dyDescent="0.25">
      <c r="A389" t="s">
        <v>356</v>
      </c>
      <c r="B389" t="s">
        <v>934</v>
      </c>
      <c r="C389" s="3">
        <v>4005</v>
      </c>
      <c r="D389" s="3">
        <v>-667</v>
      </c>
      <c r="E389" s="3">
        <v>4539</v>
      </c>
      <c r="F389">
        <v>2898</v>
      </c>
      <c r="G389">
        <v>1774</v>
      </c>
      <c r="H389">
        <v>64</v>
      </c>
      <c r="I389" t="s">
        <v>938</v>
      </c>
      <c r="J389">
        <v>5</v>
      </c>
      <c r="K389" t="s">
        <v>950</v>
      </c>
    </row>
    <row r="390" spans="1:11" x14ac:dyDescent="0.25">
      <c r="A390" t="s">
        <v>357</v>
      </c>
      <c r="B390" t="s">
        <v>937</v>
      </c>
      <c r="C390" s="3">
        <v>5266</v>
      </c>
      <c r="D390" s="3">
        <v>3793</v>
      </c>
      <c r="E390" s="3">
        <v>7388</v>
      </c>
      <c r="F390">
        <v>1151</v>
      </c>
      <c r="G390">
        <v>322</v>
      </c>
      <c r="H390">
        <v>59</v>
      </c>
      <c r="I390" t="s">
        <v>942</v>
      </c>
      <c r="J390">
        <v>5</v>
      </c>
      <c r="K390" t="s">
        <v>948</v>
      </c>
    </row>
    <row r="391" spans="1:11" x14ac:dyDescent="0.25">
      <c r="A391" t="s">
        <v>358</v>
      </c>
      <c r="B391" t="s">
        <v>935</v>
      </c>
      <c r="C391" s="3">
        <v>10392</v>
      </c>
      <c r="D391" s="3">
        <v>5382</v>
      </c>
      <c r="E391" s="3">
        <v>4678</v>
      </c>
      <c r="F391">
        <v>3710</v>
      </c>
      <c r="G391">
        <v>1300</v>
      </c>
      <c r="H391">
        <v>96</v>
      </c>
      <c r="I391" t="s">
        <v>941</v>
      </c>
      <c r="J391">
        <v>5</v>
      </c>
      <c r="K391" t="s">
        <v>953</v>
      </c>
    </row>
    <row r="392" spans="1:11" x14ac:dyDescent="0.25">
      <c r="A392" t="s">
        <v>359</v>
      </c>
      <c r="B392" t="s">
        <v>934</v>
      </c>
      <c r="C392" s="3">
        <v>11360</v>
      </c>
      <c r="D392" s="3">
        <v>7799</v>
      </c>
      <c r="E392" s="3">
        <v>4970</v>
      </c>
      <c r="F392">
        <v>3085</v>
      </c>
      <c r="G392">
        <v>476</v>
      </c>
      <c r="H392">
        <v>81</v>
      </c>
      <c r="I392" t="s">
        <v>940</v>
      </c>
      <c r="J392">
        <v>7</v>
      </c>
      <c r="K392" t="s">
        <v>949</v>
      </c>
    </row>
    <row r="393" spans="1:11" x14ac:dyDescent="0.25">
      <c r="A393" t="s">
        <v>360</v>
      </c>
      <c r="B393" t="s">
        <v>934</v>
      </c>
      <c r="C393" s="3">
        <v>3550</v>
      </c>
      <c r="D393" s="3">
        <v>1345</v>
      </c>
      <c r="E393" s="3">
        <v>6015</v>
      </c>
      <c r="F393">
        <v>988</v>
      </c>
      <c r="G393">
        <v>1217</v>
      </c>
      <c r="H393">
        <v>106</v>
      </c>
      <c r="I393" t="s">
        <v>938</v>
      </c>
      <c r="J393">
        <v>5</v>
      </c>
      <c r="K393" t="s">
        <v>948</v>
      </c>
    </row>
    <row r="394" spans="1:11" x14ac:dyDescent="0.25">
      <c r="A394" t="s">
        <v>361</v>
      </c>
      <c r="B394" t="s">
        <v>936</v>
      </c>
      <c r="C394" s="3">
        <v>8327</v>
      </c>
      <c r="D394" s="3">
        <v>3352</v>
      </c>
      <c r="E394" s="3">
        <v>5253</v>
      </c>
      <c r="F394">
        <v>4264</v>
      </c>
      <c r="G394">
        <v>711</v>
      </c>
      <c r="H394">
        <v>80</v>
      </c>
      <c r="I394" t="s">
        <v>942</v>
      </c>
      <c r="J394">
        <v>10</v>
      </c>
      <c r="K394" t="s">
        <v>944</v>
      </c>
    </row>
    <row r="395" spans="1:11" x14ac:dyDescent="0.25">
      <c r="A395" t="s">
        <v>362</v>
      </c>
      <c r="B395" t="s">
        <v>936</v>
      </c>
      <c r="C395" s="3">
        <v>5543</v>
      </c>
      <c r="D395" s="3">
        <v>621</v>
      </c>
      <c r="E395" s="3">
        <v>8850</v>
      </c>
      <c r="F395">
        <v>4589</v>
      </c>
      <c r="G395">
        <v>333</v>
      </c>
      <c r="H395">
        <v>103</v>
      </c>
      <c r="I395" t="s">
        <v>940</v>
      </c>
      <c r="J395">
        <v>4</v>
      </c>
      <c r="K395" t="s">
        <v>943</v>
      </c>
    </row>
    <row r="396" spans="1:11" x14ac:dyDescent="0.25">
      <c r="A396" t="s">
        <v>363</v>
      </c>
      <c r="B396" t="s">
        <v>937</v>
      </c>
      <c r="C396" s="3">
        <v>11896</v>
      </c>
      <c r="D396" s="3">
        <v>5942</v>
      </c>
      <c r="E396" s="3">
        <v>9907</v>
      </c>
      <c r="F396">
        <v>4451</v>
      </c>
      <c r="G396">
        <v>1503</v>
      </c>
      <c r="H396">
        <v>50</v>
      </c>
      <c r="I396" t="s">
        <v>938</v>
      </c>
      <c r="J396">
        <v>3</v>
      </c>
      <c r="K396" t="s">
        <v>950</v>
      </c>
    </row>
    <row r="397" spans="1:11" x14ac:dyDescent="0.25">
      <c r="A397" t="s">
        <v>364</v>
      </c>
      <c r="B397" t="s">
        <v>936</v>
      </c>
      <c r="C397" s="3">
        <v>2480</v>
      </c>
      <c r="D397" s="3">
        <v>-55</v>
      </c>
      <c r="E397" s="3">
        <v>5715</v>
      </c>
      <c r="F397">
        <v>1164</v>
      </c>
      <c r="G397">
        <v>1371</v>
      </c>
      <c r="H397">
        <v>115</v>
      </c>
      <c r="I397" t="s">
        <v>940</v>
      </c>
      <c r="J397">
        <v>3</v>
      </c>
      <c r="K397" t="s">
        <v>950</v>
      </c>
    </row>
    <row r="398" spans="1:11" x14ac:dyDescent="0.25">
      <c r="A398" t="s">
        <v>365</v>
      </c>
      <c r="B398" t="s">
        <v>935</v>
      </c>
      <c r="C398" s="3">
        <v>4182</v>
      </c>
      <c r="D398" s="3">
        <v>-446</v>
      </c>
      <c r="E398" s="3">
        <v>8918</v>
      </c>
      <c r="F398">
        <v>3662</v>
      </c>
      <c r="G398">
        <v>966</v>
      </c>
      <c r="H398">
        <v>108</v>
      </c>
      <c r="I398" t="s">
        <v>941</v>
      </c>
      <c r="J398">
        <v>1</v>
      </c>
      <c r="K398" t="s">
        <v>950</v>
      </c>
    </row>
    <row r="399" spans="1:11" x14ac:dyDescent="0.25">
      <c r="A399" t="s">
        <v>366</v>
      </c>
      <c r="B399" t="s">
        <v>934</v>
      </c>
      <c r="C399" s="3">
        <v>3940</v>
      </c>
      <c r="D399" s="3">
        <v>1716</v>
      </c>
      <c r="E399" s="3">
        <v>9914</v>
      </c>
      <c r="F399">
        <v>1592</v>
      </c>
      <c r="G399">
        <v>632</v>
      </c>
      <c r="H399">
        <v>105</v>
      </c>
      <c r="I399" t="s">
        <v>940</v>
      </c>
      <c r="J399">
        <v>6</v>
      </c>
      <c r="K399" t="s">
        <v>944</v>
      </c>
    </row>
    <row r="400" spans="1:11" x14ac:dyDescent="0.25">
      <c r="A400" t="s">
        <v>367</v>
      </c>
      <c r="B400" t="s">
        <v>936</v>
      </c>
      <c r="C400" s="3">
        <v>3467</v>
      </c>
      <c r="D400" s="3">
        <v>-584</v>
      </c>
      <c r="E400" s="3">
        <v>4792</v>
      </c>
      <c r="F400">
        <v>2643</v>
      </c>
      <c r="G400">
        <v>1408</v>
      </c>
      <c r="H400">
        <v>99</v>
      </c>
      <c r="I400" t="s">
        <v>939</v>
      </c>
      <c r="J400">
        <v>9</v>
      </c>
      <c r="K400" t="s">
        <v>948</v>
      </c>
    </row>
    <row r="401" spans="1:11" x14ac:dyDescent="0.25">
      <c r="A401" t="s">
        <v>277</v>
      </c>
      <c r="B401" t="s">
        <v>934</v>
      </c>
      <c r="C401" s="3">
        <v>10758</v>
      </c>
      <c r="D401" s="3">
        <v>7768</v>
      </c>
      <c r="E401" s="3">
        <v>6452</v>
      </c>
      <c r="F401">
        <v>2739</v>
      </c>
      <c r="G401">
        <v>251</v>
      </c>
      <c r="H401">
        <v>36</v>
      </c>
      <c r="I401" t="s">
        <v>942</v>
      </c>
      <c r="J401">
        <v>4</v>
      </c>
      <c r="K401" t="s">
        <v>946</v>
      </c>
    </row>
    <row r="402" spans="1:11" x14ac:dyDescent="0.25">
      <c r="A402" t="s">
        <v>368</v>
      </c>
      <c r="B402" t="s">
        <v>937</v>
      </c>
      <c r="C402" s="3">
        <v>5597</v>
      </c>
      <c r="D402" s="3">
        <v>1007</v>
      </c>
      <c r="E402" s="3">
        <v>9555</v>
      </c>
      <c r="F402">
        <v>4349</v>
      </c>
      <c r="G402">
        <v>241</v>
      </c>
      <c r="H402">
        <v>118</v>
      </c>
      <c r="I402" t="s">
        <v>939</v>
      </c>
      <c r="J402">
        <v>7</v>
      </c>
      <c r="K402" t="s">
        <v>946</v>
      </c>
    </row>
    <row r="403" spans="1:11" x14ac:dyDescent="0.25">
      <c r="A403" t="s">
        <v>369</v>
      </c>
      <c r="B403" t="s">
        <v>935</v>
      </c>
      <c r="C403" s="3">
        <v>9955</v>
      </c>
      <c r="D403" s="3">
        <v>3515</v>
      </c>
      <c r="E403" s="3">
        <v>5073</v>
      </c>
      <c r="F403">
        <v>4609</v>
      </c>
      <c r="G403">
        <v>1831</v>
      </c>
      <c r="H403">
        <v>110</v>
      </c>
      <c r="I403" t="s">
        <v>941</v>
      </c>
      <c r="J403">
        <v>4</v>
      </c>
      <c r="K403" t="s">
        <v>954</v>
      </c>
    </row>
    <row r="404" spans="1:11" x14ac:dyDescent="0.25">
      <c r="A404" t="s">
        <v>370</v>
      </c>
      <c r="B404" t="s">
        <v>934</v>
      </c>
      <c r="C404" s="3">
        <v>10723</v>
      </c>
      <c r="D404" s="3">
        <v>5770</v>
      </c>
      <c r="E404" s="3">
        <v>8309</v>
      </c>
      <c r="F404">
        <v>4728</v>
      </c>
      <c r="G404">
        <v>225</v>
      </c>
      <c r="H404">
        <v>106</v>
      </c>
      <c r="I404" t="s">
        <v>941</v>
      </c>
      <c r="J404">
        <v>1</v>
      </c>
      <c r="K404" t="s">
        <v>952</v>
      </c>
    </row>
    <row r="405" spans="1:11" x14ac:dyDescent="0.25">
      <c r="A405" t="s">
        <v>371</v>
      </c>
      <c r="B405" t="s">
        <v>936</v>
      </c>
      <c r="C405" s="3">
        <v>4797</v>
      </c>
      <c r="D405" s="3">
        <v>-1839</v>
      </c>
      <c r="E405" s="3">
        <v>4459</v>
      </c>
      <c r="F405">
        <v>4744</v>
      </c>
      <c r="G405">
        <v>1892</v>
      </c>
      <c r="H405">
        <v>80</v>
      </c>
      <c r="I405" t="s">
        <v>942</v>
      </c>
      <c r="J405">
        <v>4</v>
      </c>
      <c r="K405" t="s">
        <v>943</v>
      </c>
    </row>
    <row r="406" spans="1:11" x14ac:dyDescent="0.25">
      <c r="A406" t="s">
        <v>372</v>
      </c>
      <c r="B406" t="s">
        <v>936</v>
      </c>
      <c r="C406" s="3">
        <v>6599</v>
      </c>
      <c r="D406" s="3">
        <v>4862</v>
      </c>
      <c r="E406" s="3">
        <v>6928</v>
      </c>
      <c r="F406">
        <v>1157</v>
      </c>
      <c r="G406">
        <v>580</v>
      </c>
      <c r="H406">
        <v>91</v>
      </c>
      <c r="I406" t="s">
        <v>940</v>
      </c>
      <c r="J406">
        <v>7</v>
      </c>
      <c r="K406" t="s">
        <v>949</v>
      </c>
    </row>
    <row r="407" spans="1:11" x14ac:dyDescent="0.25">
      <c r="A407" t="s">
        <v>373</v>
      </c>
      <c r="B407" t="s">
        <v>935</v>
      </c>
      <c r="C407" s="3">
        <v>2851</v>
      </c>
      <c r="D407" s="3">
        <v>-2693</v>
      </c>
      <c r="E407" s="3">
        <v>4555</v>
      </c>
      <c r="F407">
        <v>3949</v>
      </c>
      <c r="G407">
        <v>1595</v>
      </c>
      <c r="H407">
        <v>89</v>
      </c>
      <c r="I407" t="s">
        <v>941</v>
      </c>
      <c r="J407">
        <v>2</v>
      </c>
      <c r="K407" t="s">
        <v>946</v>
      </c>
    </row>
    <row r="408" spans="1:11" x14ac:dyDescent="0.25">
      <c r="A408" t="s">
        <v>374</v>
      </c>
      <c r="B408" t="s">
        <v>937</v>
      </c>
      <c r="C408" s="3">
        <v>7612</v>
      </c>
      <c r="D408" s="3">
        <v>3079</v>
      </c>
      <c r="E408" s="3">
        <v>5395</v>
      </c>
      <c r="F408">
        <v>2597</v>
      </c>
      <c r="G408">
        <v>1936</v>
      </c>
      <c r="H408">
        <v>56</v>
      </c>
      <c r="I408" t="s">
        <v>941</v>
      </c>
      <c r="J408">
        <v>8</v>
      </c>
      <c r="K408" t="s">
        <v>954</v>
      </c>
    </row>
    <row r="409" spans="1:11" x14ac:dyDescent="0.25">
      <c r="A409" t="s">
        <v>375</v>
      </c>
      <c r="B409" t="s">
        <v>936</v>
      </c>
      <c r="C409" s="3">
        <v>9954</v>
      </c>
      <c r="D409" s="3">
        <v>3963</v>
      </c>
      <c r="E409" s="3">
        <v>6886</v>
      </c>
      <c r="F409">
        <v>4182</v>
      </c>
      <c r="G409">
        <v>1809</v>
      </c>
      <c r="H409">
        <v>118</v>
      </c>
      <c r="I409" t="s">
        <v>939</v>
      </c>
      <c r="J409">
        <v>8</v>
      </c>
      <c r="K409" t="s">
        <v>949</v>
      </c>
    </row>
    <row r="410" spans="1:11" x14ac:dyDescent="0.25">
      <c r="A410" t="s">
        <v>147</v>
      </c>
      <c r="B410" t="s">
        <v>934</v>
      </c>
      <c r="C410" s="3">
        <v>11026</v>
      </c>
      <c r="D410" s="3">
        <v>7340</v>
      </c>
      <c r="E410" s="3">
        <v>8809</v>
      </c>
      <c r="F410">
        <v>2809</v>
      </c>
      <c r="G410">
        <v>877</v>
      </c>
      <c r="H410">
        <v>98</v>
      </c>
      <c r="I410" t="s">
        <v>939</v>
      </c>
      <c r="J410">
        <v>5</v>
      </c>
      <c r="K410" t="s">
        <v>947</v>
      </c>
    </row>
    <row r="411" spans="1:11" x14ac:dyDescent="0.25">
      <c r="A411" t="s">
        <v>282</v>
      </c>
      <c r="B411" t="s">
        <v>935</v>
      </c>
      <c r="C411" s="3">
        <v>2520</v>
      </c>
      <c r="D411" s="3">
        <v>-344</v>
      </c>
      <c r="E411" s="3">
        <v>6217</v>
      </c>
      <c r="F411">
        <v>2341</v>
      </c>
      <c r="G411">
        <v>523</v>
      </c>
      <c r="H411">
        <v>110</v>
      </c>
      <c r="I411" t="s">
        <v>939</v>
      </c>
      <c r="J411">
        <v>10</v>
      </c>
      <c r="K411" t="s">
        <v>951</v>
      </c>
    </row>
    <row r="412" spans="1:11" x14ac:dyDescent="0.25">
      <c r="A412" t="s">
        <v>376</v>
      </c>
      <c r="B412" t="s">
        <v>937</v>
      </c>
      <c r="C412" s="3">
        <v>9083</v>
      </c>
      <c r="D412" s="3">
        <v>5198</v>
      </c>
      <c r="E412" s="3">
        <v>6428</v>
      </c>
      <c r="F412">
        <v>2425</v>
      </c>
      <c r="G412">
        <v>1460</v>
      </c>
      <c r="H412">
        <v>66</v>
      </c>
      <c r="I412" t="s">
        <v>938</v>
      </c>
      <c r="J412">
        <v>4</v>
      </c>
      <c r="K412" t="s">
        <v>954</v>
      </c>
    </row>
    <row r="413" spans="1:11" x14ac:dyDescent="0.25">
      <c r="A413" t="s">
        <v>377</v>
      </c>
      <c r="B413" t="s">
        <v>937</v>
      </c>
      <c r="C413" s="3">
        <v>7557</v>
      </c>
      <c r="D413" s="3">
        <v>3662</v>
      </c>
      <c r="E413" s="3">
        <v>4974</v>
      </c>
      <c r="F413">
        <v>2937</v>
      </c>
      <c r="G413">
        <v>958</v>
      </c>
      <c r="H413">
        <v>75</v>
      </c>
      <c r="I413" t="s">
        <v>940</v>
      </c>
      <c r="J413">
        <v>5</v>
      </c>
      <c r="K413" t="s">
        <v>952</v>
      </c>
    </row>
    <row r="414" spans="1:11" x14ac:dyDescent="0.25">
      <c r="A414" t="s">
        <v>349</v>
      </c>
      <c r="B414" t="s">
        <v>937</v>
      </c>
      <c r="C414" s="3">
        <v>5579</v>
      </c>
      <c r="D414" s="3">
        <v>-162</v>
      </c>
      <c r="E414" s="3">
        <v>8832</v>
      </c>
      <c r="F414">
        <v>4630</v>
      </c>
      <c r="G414">
        <v>1111</v>
      </c>
      <c r="H414">
        <v>33</v>
      </c>
      <c r="I414" t="s">
        <v>939</v>
      </c>
      <c r="J414">
        <v>3</v>
      </c>
      <c r="K414" t="s">
        <v>944</v>
      </c>
    </row>
    <row r="415" spans="1:11" x14ac:dyDescent="0.25">
      <c r="A415" t="s">
        <v>378</v>
      </c>
      <c r="B415" t="s">
        <v>935</v>
      </c>
      <c r="C415" s="3">
        <v>3367</v>
      </c>
      <c r="D415" s="3">
        <v>-1912</v>
      </c>
      <c r="E415" s="3">
        <v>7568</v>
      </c>
      <c r="F415">
        <v>3323</v>
      </c>
      <c r="G415">
        <v>1956</v>
      </c>
      <c r="H415">
        <v>120</v>
      </c>
      <c r="I415" t="s">
        <v>940</v>
      </c>
      <c r="J415">
        <v>9</v>
      </c>
      <c r="K415" t="s">
        <v>951</v>
      </c>
    </row>
    <row r="416" spans="1:11" x14ac:dyDescent="0.25">
      <c r="A416" t="s">
        <v>379</v>
      </c>
      <c r="B416" t="s">
        <v>935</v>
      </c>
      <c r="C416" s="3">
        <v>3213</v>
      </c>
      <c r="D416" s="3">
        <v>402</v>
      </c>
      <c r="E416" s="3">
        <v>8082</v>
      </c>
      <c r="F416">
        <v>829</v>
      </c>
      <c r="G416">
        <v>1982</v>
      </c>
      <c r="H416">
        <v>62</v>
      </c>
      <c r="I416" t="s">
        <v>941</v>
      </c>
      <c r="J416">
        <v>7</v>
      </c>
      <c r="K416" t="s">
        <v>949</v>
      </c>
    </row>
    <row r="417" spans="1:11" x14ac:dyDescent="0.25">
      <c r="A417" t="s">
        <v>380</v>
      </c>
      <c r="B417" t="s">
        <v>937</v>
      </c>
      <c r="C417" s="3">
        <v>10229</v>
      </c>
      <c r="D417" s="3">
        <v>7558</v>
      </c>
      <c r="E417" s="3">
        <v>8887</v>
      </c>
      <c r="F417">
        <v>1622</v>
      </c>
      <c r="G417">
        <v>1049</v>
      </c>
      <c r="H417">
        <v>108</v>
      </c>
      <c r="I417" t="s">
        <v>940</v>
      </c>
      <c r="J417">
        <v>5</v>
      </c>
      <c r="K417" t="s">
        <v>948</v>
      </c>
    </row>
    <row r="418" spans="1:11" x14ac:dyDescent="0.25">
      <c r="A418" t="s">
        <v>15</v>
      </c>
      <c r="B418" t="s">
        <v>936</v>
      </c>
      <c r="C418" s="3">
        <v>10539</v>
      </c>
      <c r="D418" s="3">
        <v>4821</v>
      </c>
      <c r="E418" s="3">
        <v>7574</v>
      </c>
      <c r="F418">
        <v>4727</v>
      </c>
      <c r="G418">
        <v>991</v>
      </c>
      <c r="H418">
        <v>95</v>
      </c>
      <c r="I418" t="s">
        <v>938</v>
      </c>
      <c r="J418">
        <v>7</v>
      </c>
      <c r="K418" t="s">
        <v>947</v>
      </c>
    </row>
    <row r="419" spans="1:11" x14ac:dyDescent="0.25">
      <c r="A419" t="s">
        <v>381</v>
      </c>
      <c r="B419" t="s">
        <v>936</v>
      </c>
      <c r="C419" s="3">
        <v>7335</v>
      </c>
      <c r="D419" s="3">
        <v>4133</v>
      </c>
      <c r="E419" s="3">
        <v>5227</v>
      </c>
      <c r="F419">
        <v>1631</v>
      </c>
      <c r="G419">
        <v>1571</v>
      </c>
      <c r="H419">
        <v>68</v>
      </c>
      <c r="I419" t="s">
        <v>938</v>
      </c>
      <c r="J419">
        <v>8</v>
      </c>
      <c r="K419" t="s">
        <v>947</v>
      </c>
    </row>
    <row r="420" spans="1:11" x14ac:dyDescent="0.25">
      <c r="A420" t="s">
        <v>382</v>
      </c>
      <c r="B420" t="s">
        <v>934</v>
      </c>
      <c r="C420" s="3">
        <v>9998</v>
      </c>
      <c r="D420" s="3">
        <v>3935</v>
      </c>
      <c r="E420" s="3">
        <v>7706</v>
      </c>
      <c r="F420">
        <v>4664</v>
      </c>
      <c r="G420">
        <v>1399</v>
      </c>
      <c r="H420">
        <v>48</v>
      </c>
      <c r="I420" t="s">
        <v>938</v>
      </c>
      <c r="J420">
        <v>10</v>
      </c>
      <c r="K420" t="s">
        <v>947</v>
      </c>
    </row>
    <row r="421" spans="1:11" x14ac:dyDescent="0.25">
      <c r="A421" t="s">
        <v>383</v>
      </c>
      <c r="B421" t="s">
        <v>936</v>
      </c>
      <c r="C421" s="3">
        <v>7618</v>
      </c>
      <c r="D421" s="3">
        <v>2241</v>
      </c>
      <c r="E421" s="3">
        <v>9655</v>
      </c>
      <c r="F421">
        <v>4688</v>
      </c>
      <c r="G421">
        <v>689</v>
      </c>
      <c r="H421">
        <v>40</v>
      </c>
      <c r="I421" t="s">
        <v>939</v>
      </c>
      <c r="J421">
        <v>10</v>
      </c>
      <c r="K421" t="s">
        <v>951</v>
      </c>
    </row>
    <row r="422" spans="1:11" x14ac:dyDescent="0.25">
      <c r="A422" t="s">
        <v>384</v>
      </c>
      <c r="B422" t="s">
        <v>936</v>
      </c>
      <c r="C422" s="3">
        <v>3201</v>
      </c>
      <c r="D422" s="3">
        <v>-38</v>
      </c>
      <c r="E422" s="3">
        <v>9791</v>
      </c>
      <c r="F422">
        <v>1834</v>
      </c>
      <c r="G422">
        <v>1405</v>
      </c>
      <c r="H422">
        <v>74</v>
      </c>
      <c r="I422" t="s">
        <v>941</v>
      </c>
      <c r="J422">
        <v>3</v>
      </c>
      <c r="K422" t="s">
        <v>949</v>
      </c>
    </row>
    <row r="423" spans="1:11" x14ac:dyDescent="0.25">
      <c r="A423" t="s">
        <v>385</v>
      </c>
      <c r="B423" t="s">
        <v>934</v>
      </c>
      <c r="C423" s="3">
        <v>5872</v>
      </c>
      <c r="D423" s="3">
        <v>-810</v>
      </c>
      <c r="E423" s="3">
        <v>8573</v>
      </c>
      <c r="F423">
        <v>4707</v>
      </c>
      <c r="G423">
        <v>1975</v>
      </c>
      <c r="H423">
        <v>65</v>
      </c>
      <c r="I423" t="s">
        <v>942</v>
      </c>
      <c r="J423">
        <v>5</v>
      </c>
      <c r="K423" t="s">
        <v>944</v>
      </c>
    </row>
    <row r="424" spans="1:11" x14ac:dyDescent="0.25">
      <c r="A424" t="s">
        <v>386</v>
      </c>
      <c r="B424" t="s">
        <v>937</v>
      </c>
      <c r="C424" s="3">
        <v>4915</v>
      </c>
      <c r="D424" s="3">
        <v>-149</v>
      </c>
      <c r="E424" s="3">
        <v>6000</v>
      </c>
      <c r="F424">
        <v>3481</v>
      </c>
      <c r="G424">
        <v>1583</v>
      </c>
      <c r="H424">
        <v>89</v>
      </c>
      <c r="I424" t="s">
        <v>940</v>
      </c>
      <c r="J424">
        <v>2</v>
      </c>
      <c r="K424" t="s">
        <v>947</v>
      </c>
    </row>
    <row r="425" spans="1:11" x14ac:dyDescent="0.25">
      <c r="A425" t="s">
        <v>387</v>
      </c>
      <c r="B425" t="s">
        <v>936</v>
      </c>
      <c r="C425" s="3">
        <v>2219</v>
      </c>
      <c r="D425" s="3">
        <v>-2159</v>
      </c>
      <c r="E425" s="3">
        <v>8298</v>
      </c>
      <c r="F425">
        <v>3308</v>
      </c>
      <c r="G425">
        <v>1070</v>
      </c>
      <c r="H425">
        <v>86</v>
      </c>
      <c r="I425" t="s">
        <v>941</v>
      </c>
      <c r="J425">
        <v>8</v>
      </c>
      <c r="K425" t="s">
        <v>952</v>
      </c>
    </row>
    <row r="426" spans="1:11" x14ac:dyDescent="0.25">
      <c r="A426" t="s">
        <v>103</v>
      </c>
      <c r="B426" t="s">
        <v>937</v>
      </c>
      <c r="C426" s="3">
        <v>9884</v>
      </c>
      <c r="D426" s="3">
        <v>5060</v>
      </c>
      <c r="E426" s="3">
        <v>9683</v>
      </c>
      <c r="F426">
        <v>3679</v>
      </c>
      <c r="G426">
        <v>1145</v>
      </c>
      <c r="H426">
        <v>59</v>
      </c>
      <c r="I426" t="s">
        <v>942</v>
      </c>
      <c r="J426">
        <v>8</v>
      </c>
      <c r="K426" t="s">
        <v>943</v>
      </c>
    </row>
    <row r="427" spans="1:11" x14ac:dyDescent="0.25">
      <c r="A427" t="s">
        <v>388</v>
      </c>
      <c r="B427" t="s">
        <v>935</v>
      </c>
      <c r="C427" s="3">
        <v>4200</v>
      </c>
      <c r="D427" s="3">
        <v>878</v>
      </c>
      <c r="E427" s="3">
        <v>8614</v>
      </c>
      <c r="F427">
        <v>2727</v>
      </c>
      <c r="G427">
        <v>595</v>
      </c>
      <c r="H427">
        <v>53</v>
      </c>
      <c r="I427" t="s">
        <v>942</v>
      </c>
      <c r="J427">
        <v>6</v>
      </c>
      <c r="K427" t="s">
        <v>948</v>
      </c>
    </row>
    <row r="428" spans="1:11" x14ac:dyDescent="0.25">
      <c r="A428" t="s">
        <v>389</v>
      </c>
      <c r="B428" t="s">
        <v>934</v>
      </c>
      <c r="C428" s="3">
        <v>3079</v>
      </c>
      <c r="D428" s="3">
        <v>-509</v>
      </c>
      <c r="E428" s="3">
        <v>6576</v>
      </c>
      <c r="F428">
        <v>3033</v>
      </c>
      <c r="G428">
        <v>555</v>
      </c>
      <c r="H428">
        <v>94</v>
      </c>
      <c r="I428" t="s">
        <v>941</v>
      </c>
      <c r="J428">
        <v>8</v>
      </c>
      <c r="K428" t="s">
        <v>946</v>
      </c>
    </row>
    <row r="429" spans="1:11" x14ac:dyDescent="0.25">
      <c r="A429" t="s">
        <v>390</v>
      </c>
      <c r="B429" t="s">
        <v>934</v>
      </c>
      <c r="C429" s="3">
        <v>2069</v>
      </c>
      <c r="D429" s="3">
        <v>-2469</v>
      </c>
      <c r="E429" s="3">
        <v>7359</v>
      </c>
      <c r="F429">
        <v>4218</v>
      </c>
      <c r="G429">
        <v>320</v>
      </c>
      <c r="H429">
        <v>98</v>
      </c>
      <c r="I429" t="s">
        <v>940</v>
      </c>
      <c r="J429">
        <v>8</v>
      </c>
      <c r="K429" t="s">
        <v>944</v>
      </c>
    </row>
    <row r="430" spans="1:11" x14ac:dyDescent="0.25">
      <c r="A430" t="s">
        <v>391</v>
      </c>
      <c r="B430" t="s">
        <v>935</v>
      </c>
      <c r="C430" s="3">
        <v>9106</v>
      </c>
      <c r="D430" s="3">
        <v>6778</v>
      </c>
      <c r="E430" s="3">
        <v>9949</v>
      </c>
      <c r="F430">
        <v>830</v>
      </c>
      <c r="G430">
        <v>1498</v>
      </c>
      <c r="H430">
        <v>26</v>
      </c>
      <c r="I430" t="s">
        <v>942</v>
      </c>
      <c r="J430">
        <v>3</v>
      </c>
      <c r="K430" t="s">
        <v>944</v>
      </c>
    </row>
    <row r="431" spans="1:11" x14ac:dyDescent="0.25">
      <c r="A431" t="s">
        <v>392</v>
      </c>
      <c r="B431" t="s">
        <v>935</v>
      </c>
      <c r="C431" s="3">
        <v>2004</v>
      </c>
      <c r="D431" s="3">
        <v>-2002</v>
      </c>
      <c r="E431" s="3">
        <v>7786</v>
      </c>
      <c r="F431">
        <v>3291</v>
      </c>
      <c r="G431">
        <v>715</v>
      </c>
      <c r="H431">
        <v>39</v>
      </c>
      <c r="I431" t="s">
        <v>939</v>
      </c>
      <c r="J431">
        <v>5</v>
      </c>
      <c r="K431" t="s">
        <v>944</v>
      </c>
    </row>
    <row r="432" spans="1:11" x14ac:dyDescent="0.25">
      <c r="A432" t="s">
        <v>393</v>
      </c>
      <c r="B432" t="s">
        <v>934</v>
      </c>
      <c r="C432" s="3">
        <v>5521</v>
      </c>
      <c r="D432" s="3">
        <v>3826</v>
      </c>
      <c r="E432" s="3">
        <v>5300</v>
      </c>
      <c r="F432">
        <v>866</v>
      </c>
      <c r="G432">
        <v>829</v>
      </c>
      <c r="H432">
        <v>73</v>
      </c>
      <c r="I432" t="s">
        <v>942</v>
      </c>
      <c r="J432">
        <v>2</v>
      </c>
      <c r="K432" t="s">
        <v>946</v>
      </c>
    </row>
    <row r="433" spans="1:11" x14ac:dyDescent="0.25">
      <c r="A433" t="s">
        <v>394</v>
      </c>
      <c r="B433" t="s">
        <v>934</v>
      </c>
      <c r="C433" s="3">
        <v>6000</v>
      </c>
      <c r="D433" s="3">
        <v>2898</v>
      </c>
      <c r="E433" s="3">
        <v>8779</v>
      </c>
      <c r="F433">
        <v>1134</v>
      </c>
      <c r="G433">
        <v>1968</v>
      </c>
      <c r="H433">
        <v>71</v>
      </c>
      <c r="I433" t="s">
        <v>942</v>
      </c>
      <c r="J433">
        <v>2</v>
      </c>
      <c r="K433" t="s">
        <v>953</v>
      </c>
    </row>
    <row r="434" spans="1:11" x14ac:dyDescent="0.25">
      <c r="A434" t="s">
        <v>307</v>
      </c>
      <c r="B434" t="s">
        <v>937</v>
      </c>
      <c r="C434" s="3">
        <v>9847</v>
      </c>
      <c r="D434" s="3">
        <v>6447</v>
      </c>
      <c r="E434" s="3">
        <v>8518</v>
      </c>
      <c r="F434">
        <v>1794</v>
      </c>
      <c r="G434">
        <v>1606</v>
      </c>
      <c r="H434">
        <v>85</v>
      </c>
      <c r="I434" t="s">
        <v>939</v>
      </c>
      <c r="J434">
        <v>6</v>
      </c>
      <c r="K434" t="s">
        <v>946</v>
      </c>
    </row>
    <row r="435" spans="1:11" x14ac:dyDescent="0.25">
      <c r="A435" t="s">
        <v>395</v>
      </c>
      <c r="B435" t="s">
        <v>936</v>
      </c>
      <c r="C435" s="3">
        <v>9423</v>
      </c>
      <c r="D435" s="3">
        <v>3517</v>
      </c>
      <c r="E435" s="3">
        <v>5518</v>
      </c>
      <c r="F435">
        <v>4285</v>
      </c>
      <c r="G435">
        <v>1621</v>
      </c>
      <c r="H435">
        <v>116</v>
      </c>
      <c r="I435" t="s">
        <v>940</v>
      </c>
      <c r="J435">
        <v>6</v>
      </c>
      <c r="K435" t="s">
        <v>949</v>
      </c>
    </row>
    <row r="436" spans="1:11" x14ac:dyDescent="0.25">
      <c r="A436" t="s">
        <v>25</v>
      </c>
      <c r="B436" t="s">
        <v>934</v>
      </c>
      <c r="C436" s="3">
        <v>2861</v>
      </c>
      <c r="D436" s="3">
        <v>1459</v>
      </c>
      <c r="E436" s="3">
        <v>5166</v>
      </c>
      <c r="F436">
        <v>1035</v>
      </c>
      <c r="G436">
        <v>367</v>
      </c>
      <c r="H436">
        <v>83</v>
      </c>
      <c r="I436" t="s">
        <v>940</v>
      </c>
      <c r="J436">
        <v>1</v>
      </c>
      <c r="K436" t="s">
        <v>950</v>
      </c>
    </row>
    <row r="437" spans="1:11" x14ac:dyDescent="0.25">
      <c r="A437" t="s">
        <v>396</v>
      </c>
      <c r="B437" t="s">
        <v>937</v>
      </c>
      <c r="C437" s="3">
        <v>6308</v>
      </c>
      <c r="D437" s="3">
        <v>3128</v>
      </c>
      <c r="E437" s="3">
        <v>8923</v>
      </c>
      <c r="F437">
        <v>2436</v>
      </c>
      <c r="G437">
        <v>744</v>
      </c>
      <c r="H437">
        <v>34</v>
      </c>
      <c r="I437" t="s">
        <v>942</v>
      </c>
      <c r="J437">
        <v>8</v>
      </c>
      <c r="K437" t="s">
        <v>952</v>
      </c>
    </row>
    <row r="438" spans="1:11" x14ac:dyDescent="0.25">
      <c r="A438" t="s">
        <v>397</v>
      </c>
      <c r="B438" t="s">
        <v>936</v>
      </c>
      <c r="C438" s="3">
        <v>2654</v>
      </c>
      <c r="D438" s="3">
        <v>-998</v>
      </c>
      <c r="E438" s="3">
        <v>9097</v>
      </c>
      <c r="F438">
        <v>2861</v>
      </c>
      <c r="G438">
        <v>791</v>
      </c>
      <c r="H438">
        <v>20</v>
      </c>
      <c r="I438" t="s">
        <v>940</v>
      </c>
      <c r="J438">
        <v>8</v>
      </c>
      <c r="K438" t="s">
        <v>945</v>
      </c>
    </row>
    <row r="439" spans="1:11" x14ac:dyDescent="0.25">
      <c r="A439" t="s">
        <v>398</v>
      </c>
      <c r="B439" t="s">
        <v>934</v>
      </c>
      <c r="C439" s="3">
        <v>2056</v>
      </c>
      <c r="D439" s="3">
        <v>-2129</v>
      </c>
      <c r="E439" s="3">
        <v>6677</v>
      </c>
      <c r="F439">
        <v>2466</v>
      </c>
      <c r="G439">
        <v>1719</v>
      </c>
      <c r="H439">
        <v>46</v>
      </c>
      <c r="I439" t="s">
        <v>942</v>
      </c>
      <c r="J439">
        <v>4</v>
      </c>
      <c r="K439" t="s">
        <v>953</v>
      </c>
    </row>
    <row r="440" spans="1:11" x14ac:dyDescent="0.25">
      <c r="A440" t="s">
        <v>355</v>
      </c>
      <c r="B440" t="s">
        <v>935</v>
      </c>
      <c r="C440" s="3">
        <v>2619</v>
      </c>
      <c r="D440" s="3">
        <v>-1381</v>
      </c>
      <c r="E440" s="3">
        <v>4183</v>
      </c>
      <c r="F440">
        <v>3040</v>
      </c>
      <c r="G440">
        <v>960</v>
      </c>
      <c r="H440">
        <v>62</v>
      </c>
      <c r="I440" t="s">
        <v>941</v>
      </c>
      <c r="J440">
        <v>4</v>
      </c>
      <c r="K440" t="s">
        <v>953</v>
      </c>
    </row>
    <row r="441" spans="1:11" x14ac:dyDescent="0.25">
      <c r="A441" t="s">
        <v>399</v>
      </c>
      <c r="B441" t="s">
        <v>935</v>
      </c>
      <c r="C441" s="3">
        <v>6041</v>
      </c>
      <c r="D441" s="3">
        <v>814</v>
      </c>
      <c r="E441" s="3">
        <v>8333</v>
      </c>
      <c r="F441">
        <v>4822</v>
      </c>
      <c r="G441">
        <v>405</v>
      </c>
      <c r="H441">
        <v>41</v>
      </c>
      <c r="I441" t="s">
        <v>938</v>
      </c>
      <c r="J441">
        <v>8</v>
      </c>
      <c r="K441" t="s">
        <v>953</v>
      </c>
    </row>
    <row r="442" spans="1:11" x14ac:dyDescent="0.25">
      <c r="A442" t="s">
        <v>400</v>
      </c>
      <c r="B442" t="s">
        <v>936</v>
      </c>
      <c r="C442" s="3">
        <v>4523</v>
      </c>
      <c r="D442" s="3">
        <v>-972</v>
      </c>
      <c r="E442" s="3">
        <v>8634</v>
      </c>
      <c r="F442">
        <v>3714</v>
      </c>
      <c r="G442">
        <v>1781</v>
      </c>
      <c r="H442">
        <v>62</v>
      </c>
      <c r="I442" t="s">
        <v>939</v>
      </c>
      <c r="J442">
        <v>6</v>
      </c>
      <c r="K442" t="s">
        <v>948</v>
      </c>
    </row>
    <row r="443" spans="1:11" x14ac:dyDescent="0.25">
      <c r="A443" t="s">
        <v>121</v>
      </c>
      <c r="B443" t="s">
        <v>934</v>
      </c>
      <c r="C443" s="3">
        <v>6053</v>
      </c>
      <c r="D443" s="3">
        <v>2355</v>
      </c>
      <c r="E443" s="3">
        <v>4553</v>
      </c>
      <c r="F443">
        <v>2243</v>
      </c>
      <c r="G443">
        <v>1455</v>
      </c>
      <c r="H443">
        <v>62</v>
      </c>
      <c r="I443" t="s">
        <v>941</v>
      </c>
      <c r="J443">
        <v>3</v>
      </c>
      <c r="K443" t="s">
        <v>954</v>
      </c>
    </row>
    <row r="444" spans="1:11" x14ac:dyDescent="0.25">
      <c r="A444" t="s">
        <v>401</v>
      </c>
      <c r="B444" t="s">
        <v>936</v>
      </c>
      <c r="C444" s="3">
        <v>7119</v>
      </c>
      <c r="D444" s="3">
        <v>2121</v>
      </c>
      <c r="E444" s="3">
        <v>8580</v>
      </c>
      <c r="F444">
        <v>3110</v>
      </c>
      <c r="G444">
        <v>1888</v>
      </c>
      <c r="H444">
        <v>115</v>
      </c>
      <c r="I444" t="s">
        <v>938</v>
      </c>
      <c r="J444">
        <v>9</v>
      </c>
      <c r="K444" t="s">
        <v>953</v>
      </c>
    </row>
    <row r="445" spans="1:11" x14ac:dyDescent="0.25">
      <c r="A445" t="s">
        <v>315</v>
      </c>
      <c r="B445" t="s">
        <v>937</v>
      </c>
      <c r="C445" s="3">
        <v>8796</v>
      </c>
      <c r="D445" s="3">
        <v>5203</v>
      </c>
      <c r="E445" s="3">
        <v>9149</v>
      </c>
      <c r="F445">
        <v>2773</v>
      </c>
      <c r="G445">
        <v>820</v>
      </c>
      <c r="H445">
        <v>21</v>
      </c>
      <c r="I445" t="s">
        <v>942</v>
      </c>
      <c r="J445">
        <v>1</v>
      </c>
      <c r="K445" t="s">
        <v>953</v>
      </c>
    </row>
    <row r="446" spans="1:11" x14ac:dyDescent="0.25">
      <c r="A446" t="s">
        <v>402</v>
      </c>
      <c r="B446" t="s">
        <v>934</v>
      </c>
      <c r="C446" s="3">
        <v>9118</v>
      </c>
      <c r="D446" s="3">
        <v>5504</v>
      </c>
      <c r="E446" s="3">
        <v>9443</v>
      </c>
      <c r="F446">
        <v>2403</v>
      </c>
      <c r="G446">
        <v>1211</v>
      </c>
      <c r="H446">
        <v>61</v>
      </c>
      <c r="I446" t="s">
        <v>942</v>
      </c>
      <c r="J446">
        <v>9</v>
      </c>
      <c r="K446" t="s">
        <v>945</v>
      </c>
    </row>
    <row r="447" spans="1:11" x14ac:dyDescent="0.25">
      <c r="A447" t="s">
        <v>293</v>
      </c>
      <c r="B447" t="s">
        <v>934</v>
      </c>
      <c r="C447" s="3">
        <v>6065</v>
      </c>
      <c r="D447" s="3">
        <v>3267</v>
      </c>
      <c r="E447" s="3">
        <v>7249</v>
      </c>
      <c r="F447">
        <v>2143</v>
      </c>
      <c r="G447">
        <v>655</v>
      </c>
      <c r="H447">
        <v>112</v>
      </c>
      <c r="I447" t="s">
        <v>942</v>
      </c>
      <c r="J447">
        <v>7</v>
      </c>
      <c r="K447" t="s">
        <v>950</v>
      </c>
    </row>
    <row r="448" spans="1:11" x14ac:dyDescent="0.25">
      <c r="A448" t="s">
        <v>403</v>
      </c>
      <c r="B448" t="s">
        <v>937</v>
      </c>
      <c r="C448" s="3">
        <v>7318</v>
      </c>
      <c r="D448" s="3">
        <v>1940</v>
      </c>
      <c r="E448" s="3">
        <v>8103</v>
      </c>
      <c r="F448">
        <v>3970</v>
      </c>
      <c r="G448">
        <v>1408</v>
      </c>
      <c r="H448">
        <v>41</v>
      </c>
      <c r="I448" t="s">
        <v>940</v>
      </c>
      <c r="J448">
        <v>1</v>
      </c>
      <c r="K448" t="s">
        <v>950</v>
      </c>
    </row>
    <row r="449" spans="1:11" x14ac:dyDescent="0.25">
      <c r="A449" t="s">
        <v>404</v>
      </c>
      <c r="B449" t="s">
        <v>937</v>
      </c>
      <c r="C449" s="3">
        <v>6746</v>
      </c>
      <c r="D449" s="3">
        <v>1523</v>
      </c>
      <c r="E449" s="3">
        <v>8860</v>
      </c>
      <c r="F449">
        <v>4564</v>
      </c>
      <c r="G449">
        <v>659</v>
      </c>
      <c r="H449">
        <v>86</v>
      </c>
      <c r="I449" t="s">
        <v>940</v>
      </c>
      <c r="J449">
        <v>1</v>
      </c>
      <c r="K449" t="s">
        <v>947</v>
      </c>
    </row>
    <row r="450" spans="1:11" x14ac:dyDescent="0.25">
      <c r="A450" t="s">
        <v>405</v>
      </c>
      <c r="B450" t="s">
        <v>935</v>
      </c>
      <c r="C450" s="3">
        <v>10771</v>
      </c>
      <c r="D450" s="3">
        <v>6027</v>
      </c>
      <c r="E450" s="3">
        <v>4206</v>
      </c>
      <c r="F450">
        <v>4186</v>
      </c>
      <c r="G450">
        <v>558</v>
      </c>
      <c r="H450">
        <v>87</v>
      </c>
      <c r="I450" t="s">
        <v>939</v>
      </c>
      <c r="J450">
        <v>8</v>
      </c>
      <c r="K450" t="s">
        <v>944</v>
      </c>
    </row>
    <row r="451" spans="1:11" x14ac:dyDescent="0.25">
      <c r="A451" t="s">
        <v>406</v>
      </c>
      <c r="B451" t="s">
        <v>935</v>
      </c>
      <c r="C451" s="3">
        <v>3240</v>
      </c>
      <c r="D451" s="3">
        <v>-2527</v>
      </c>
      <c r="E451" s="3">
        <v>6388</v>
      </c>
      <c r="F451">
        <v>4824</v>
      </c>
      <c r="G451">
        <v>943</v>
      </c>
      <c r="H451">
        <v>100</v>
      </c>
      <c r="I451" t="s">
        <v>938</v>
      </c>
      <c r="J451">
        <v>6</v>
      </c>
      <c r="K451" t="s">
        <v>953</v>
      </c>
    </row>
    <row r="452" spans="1:11" x14ac:dyDescent="0.25">
      <c r="A452" t="s">
        <v>48</v>
      </c>
      <c r="B452" t="s">
        <v>936</v>
      </c>
      <c r="C452" s="3">
        <v>6756</v>
      </c>
      <c r="D452" s="3">
        <v>3363</v>
      </c>
      <c r="E452" s="3">
        <v>7206</v>
      </c>
      <c r="F452">
        <v>2900</v>
      </c>
      <c r="G452">
        <v>493</v>
      </c>
      <c r="H452">
        <v>33</v>
      </c>
      <c r="I452" t="s">
        <v>942</v>
      </c>
      <c r="J452">
        <v>9</v>
      </c>
      <c r="K452" t="s">
        <v>953</v>
      </c>
    </row>
    <row r="453" spans="1:11" x14ac:dyDescent="0.25">
      <c r="A453" t="s">
        <v>407</v>
      </c>
      <c r="B453" t="s">
        <v>935</v>
      </c>
      <c r="C453" s="3">
        <v>6705</v>
      </c>
      <c r="D453" s="3">
        <v>1833</v>
      </c>
      <c r="E453" s="3">
        <v>5635</v>
      </c>
      <c r="F453">
        <v>4382</v>
      </c>
      <c r="G453">
        <v>490</v>
      </c>
      <c r="H453">
        <v>108</v>
      </c>
      <c r="I453" t="s">
        <v>940</v>
      </c>
      <c r="J453">
        <v>8</v>
      </c>
      <c r="K453" t="s">
        <v>948</v>
      </c>
    </row>
    <row r="454" spans="1:11" x14ac:dyDescent="0.25">
      <c r="A454" t="s">
        <v>408</v>
      </c>
      <c r="B454" t="s">
        <v>937</v>
      </c>
      <c r="C454" s="3">
        <v>7133</v>
      </c>
      <c r="D454" s="3">
        <v>5221</v>
      </c>
      <c r="E454" s="3">
        <v>5923</v>
      </c>
      <c r="F454">
        <v>1436</v>
      </c>
      <c r="G454">
        <v>476</v>
      </c>
      <c r="H454">
        <v>90</v>
      </c>
      <c r="I454" t="s">
        <v>941</v>
      </c>
      <c r="J454">
        <v>10</v>
      </c>
      <c r="K454" t="s">
        <v>949</v>
      </c>
    </row>
    <row r="455" spans="1:11" x14ac:dyDescent="0.25">
      <c r="A455" t="s">
        <v>409</v>
      </c>
      <c r="B455" t="s">
        <v>937</v>
      </c>
      <c r="C455" s="3">
        <v>7817</v>
      </c>
      <c r="D455" s="3">
        <v>3175</v>
      </c>
      <c r="E455" s="3">
        <v>8503</v>
      </c>
      <c r="F455">
        <v>3677</v>
      </c>
      <c r="G455">
        <v>965</v>
      </c>
      <c r="H455">
        <v>40</v>
      </c>
      <c r="I455" t="s">
        <v>939</v>
      </c>
      <c r="J455">
        <v>4</v>
      </c>
      <c r="K455" t="s">
        <v>943</v>
      </c>
    </row>
    <row r="456" spans="1:11" x14ac:dyDescent="0.25">
      <c r="A456" t="s">
        <v>10</v>
      </c>
      <c r="B456" t="s">
        <v>937</v>
      </c>
      <c r="C456" s="3">
        <v>8857</v>
      </c>
      <c r="D456" s="3">
        <v>3718</v>
      </c>
      <c r="E456" s="3">
        <v>4500</v>
      </c>
      <c r="F456">
        <v>3866</v>
      </c>
      <c r="G456">
        <v>1273</v>
      </c>
      <c r="H456">
        <v>16</v>
      </c>
      <c r="I456" t="s">
        <v>939</v>
      </c>
      <c r="J456">
        <v>9</v>
      </c>
      <c r="K456" t="s">
        <v>943</v>
      </c>
    </row>
    <row r="457" spans="1:11" x14ac:dyDescent="0.25">
      <c r="A457" t="s">
        <v>124</v>
      </c>
      <c r="B457" t="s">
        <v>936</v>
      </c>
      <c r="C457" s="3">
        <v>4059</v>
      </c>
      <c r="D457" s="3">
        <v>-785</v>
      </c>
      <c r="E457" s="3">
        <v>4432</v>
      </c>
      <c r="F457">
        <v>4431</v>
      </c>
      <c r="G457">
        <v>413</v>
      </c>
      <c r="H457">
        <v>115</v>
      </c>
      <c r="I457" t="s">
        <v>941</v>
      </c>
      <c r="J457">
        <v>9</v>
      </c>
      <c r="K457" t="s">
        <v>950</v>
      </c>
    </row>
    <row r="458" spans="1:11" x14ac:dyDescent="0.25">
      <c r="A458" t="s">
        <v>410</v>
      </c>
      <c r="B458" t="s">
        <v>934</v>
      </c>
      <c r="C458" s="3">
        <v>6345</v>
      </c>
      <c r="D458" s="3">
        <v>2985</v>
      </c>
      <c r="E458" s="3">
        <v>5808</v>
      </c>
      <c r="F458">
        <v>2354</v>
      </c>
      <c r="G458">
        <v>1006</v>
      </c>
      <c r="H458">
        <v>116</v>
      </c>
      <c r="I458" t="s">
        <v>942</v>
      </c>
      <c r="J458">
        <v>8</v>
      </c>
      <c r="K458" t="s">
        <v>954</v>
      </c>
    </row>
    <row r="459" spans="1:11" x14ac:dyDescent="0.25">
      <c r="A459" t="s">
        <v>283</v>
      </c>
      <c r="B459" t="s">
        <v>934</v>
      </c>
      <c r="C459" s="3">
        <v>5987</v>
      </c>
      <c r="D459" s="3">
        <v>1802</v>
      </c>
      <c r="E459" s="3">
        <v>7999</v>
      </c>
      <c r="F459">
        <v>3957</v>
      </c>
      <c r="G459">
        <v>228</v>
      </c>
      <c r="H459">
        <v>116</v>
      </c>
      <c r="I459" t="s">
        <v>941</v>
      </c>
      <c r="J459">
        <v>3</v>
      </c>
      <c r="K459" t="s">
        <v>944</v>
      </c>
    </row>
    <row r="460" spans="1:11" x14ac:dyDescent="0.25">
      <c r="A460" t="s">
        <v>218</v>
      </c>
      <c r="B460" t="s">
        <v>936</v>
      </c>
      <c r="C460" s="3">
        <v>3276</v>
      </c>
      <c r="D460" s="3">
        <v>707</v>
      </c>
      <c r="E460" s="3">
        <v>5238</v>
      </c>
      <c r="F460">
        <v>1704</v>
      </c>
      <c r="G460">
        <v>865</v>
      </c>
      <c r="H460">
        <v>26</v>
      </c>
      <c r="I460" t="s">
        <v>941</v>
      </c>
      <c r="J460">
        <v>2</v>
      </c>
      <c r="K460" t="s">
        <v>952</v>
      </c>
    </row>
    <row r="461" spans="1:11" x14ac:dyDescent="0.25">
      <c r="A461" t="s">
        <v>411</v>
      </c>
      <c r="B461" t="s">
        <v>934</v>
      </c>
      <c r="C461" s="3">
        <v>10932</v>
      </c>
      <c r="D461" s="3">
        <v>6250</v>
      </c>
      <c r="E461" s="3">
        <v>8493</v>
      </c>
      <c r="F461">
        <v>3579</v>
      </c>
      <c r="G461">
        <v>1103</v>
      </c>
      <c r="H461">
        <v>99</v>
      </c>
      <c r="I461" t="s">
        <v>940</v>
      </c>
      <c r="J461">
        <v>6</v>
      </c>
      <c r="K461" t="s">
        <v>944</v>
      </c>
    </row>
    <row r="462" spans="1:11" x14ac:dyDescent="0.25">
      <c r="A462" t="s">
        <v>412</v>
      </c>
      <c r="B462" t="s">
        <v>936</v>
      </c>
      <c r="C462" s="3">
        <v>3473</v>
      </c>
      <c r="D462" s="3">
        <v>486</v>
      </c>
      <c r="E462" s="3">
        <v>7208</v>
      </c>
      <c r="F462">
        <v>2721</v>
      </c>
      <c r="G462">
        <v>266</v>
      </c>
      <c r="H462">
        <v>54</v>
      </c>
      <c r="I462" t="s">
        <v>942</v>
      </c>
      <c r="J462">
        <v>1</v>
      </c>
      <c r="K462" t="s">
        <v>948</v>
      </c>
    </row>
    <row r="463" spans="1:11" x14ac:dyDescent="0.25">
      <c r="A463" t="s">
        <v>413</v>
      </c>
      <c r="B463" t="s">
        <v>935</v>
      </c>
      <c r="C463" s="3">
        <v>4580</v>
      </c>
      <c r="D463" s="3">
        <v>1061</v>
      </c>
      <c r="E463" s="3">
        <v>9088</v>
      </c>
      <c r="F463">
        <v>2956</v>
      </c>
      <c r="G463">
        <v>563</v>
      </c>
      <c r="H463">
        <v>38</v>
      </c>
      <c r="I463" t="s">
        <v>940</v>
      </c>
      <c r="J463">
        <v>4</v>
      </c>
      <c r="K463" t="s">
        <v>952</v>
      </c>
    </row>
    <row r="464" spans="1:11" x14ac:dyDescent="0.25">
      <c r="A464" t="s">
        <v>31</v>
      </c>
      <c r="B464" t="s">
        <v>934</v>
      </c>
      <c r="C464" s="3">
        <v>2101</v>
      </c>
      <c r="D464" s="3">
        <v>-2271</v>
      </c>
      <c r="E464" s="3">
        <v>9849</v>
      </c>
      <c r="F464">
        <v>3927</v>
      </c>
      <c r="G464">
        <v>445</v>
      </c>
      <c r="H464">
        <v>64</v>
      </c>
      <c r="I464" t="s">
        <v>941</v>
      </c>
      <c r="J464">
        <v>9</v>
      </c>
      <c r="K464" t="s">
        <v>946</v>
      </c>
    </row>
    <row r="465" spans="1:11" x14ac:dyDescent="0.25">
      <c r="A465" t="s">
        <v>168</v>
      </c>
      <c r="B465" t="s">
        <v>936</v>
      </c>
      <c r="C465" s="3">
        <v>4812</v>
      </c>
      <c r="D465" s="3">
        <v>-969</v>
      </c>
      <c r="E465" s="3">
        <v>8706</v>
      </c>
      <c r="F465">
        <v>4989</v>
      </c>
      <c r="G465">
        <v>792</v>
      </c>
      <c r="H465">
        <v>47</v>
      </c>
      <c r="I465" t="s">
        <v>940</v>
      </c>
      <c r="J465">
        <v>2</v>
      </c>
      <c r="K465" t="s">
        <v>944</v>
      </c>
    </row>
    <row r="466" spans="1:11" x14ac:dyDescent="0.25">
      <c r="A466" t="s">
        <v>414</v>
      </c>
      <c r="B466" t="s">
        <v>937</v>
      </c>
      <c r="C466" s="3">
        <v>3271</v>
      </c>
      <c r="D466" s="3">
        <v>1757</v>
      </c>
      <c r="E466" s="3">
        <v>8376</v>
      </c>
      <c r="F466">
        <v>1023</v>
      </c>
      <c r="G466">
        <v>491</v>
      </c>
      <c r="H466">
        <v>116</v>
      </c>
      <c r="I466" t="s">
        <v>941</v>
      </c>
      <c r="J466">
        <v>9</v>
      </c>
      <c r="K466" t="s">
        <v>952</v>
      </c>
    </row>
    <row r="467" spans="1:11" x14ac:dyDescent="0.25">
      <c r="A467" t="s">
        <v>117</v>
      </c>
      <c r="B467" t="s">
        <v>937</v>
      </c>
      <c r="C467" s="3">
        <v>9729</v>
      </c>
      <c r="D467" s="3">
        <v>7747</v>
      </c>
      <c r="E467" s="3">
        <v>9982</v>
      </c>
      <c r="F467">
        <v>1471</v>
      </c>
      <c r="G467">
        <v>511</v>
      </c>
      <c r="H467">
        <v>52</v>
      </c>
      <c r="I467" t="s">
        <v>939</v>
      </c>
      <c r="J467">
        <v>9</v>
      </c>
      <c r="K467" t="s">
        <v>954</v>
      </c>
    </row>
    <row r="468" spans="1:11" x14ac:dyDescent="0.25">
      <c r="A468" t="s">
        <v>415</v>
      </c>
      <c r="B468" t="s">
        <v>937</v>
      </c>
      <c r="C468" s="3">
        <v>5086</v>
      </c>
      <c r="D468" s="3">
        <v>2704</v>
      </c>
      <c r="E468" s="3">
        <v>6022</v>
      </c>
      <c r="F468">
        <v>2147</v>
      </c>
      <c r="G468">
        <v>235</v>
      </c>
      <c r="H468">
        <v>73</v>
      </c>
      <c r="I468" t="s">
        <v>942</v>
      </c>
      <c r="J468">
        <v>4</v>
      </c>
      <c r="K468" t="s">
        <v>949</v>
      </c>
    </row>
    <row r="469" spans="1:11" x14ac:dyDescent="0.25">
      <c r="A469" t="s">
        <v>416</v>
      </c>
      <c r="B469" t="s">
        <v>935</v>
      </c>
      <c r="C469" s="3">
        <v>4773</v>
      </c>
      <c r="D469" s="3">
        <v>-1315</v>
      </c>
      <c r="E469" s="3">
        <v>5163</v>
      </c>
      <c r="F469">
        <v>4548</v>
      </c>
      <c r="G469">
        <v>1540</v>
      </c>
      <c r="H469">
        <v>30</v>
      </c>
      <c r="I469" t="s">
        <v>941</v>
      </c>
      <c r="J469">
        <v>2</v>
      </c>
      <c r="K469" t="s">
        <v>949</v>
      </c>
    </row>
    <row r="470" spans="1:11" x14ac:dyDescent="0.25">
      <c r="A470" t="s">
        <v>417</v>
      </c>
      <c r="B470" t="s">
        <v>936</v>
      </c>
      <c r="C470" s="3">
        <v>2891</v>
      </c>
      <c r="D470" s="3">
        <v>105</v>
      </c>
      <c r="E470" s="3">
        <v>4051</v>
      </c>
      <c r="F470">
        <v>2508</v>
      </c>
      <c r="G470">
        <v>278</v>
      </c>
      <c r="H470">
        <v>29</v>
      </c>
      <c r="I470" t="s">
        <v>941</v>
      </c>
      <c r="J470">
        <v>8</v>
      </c>
      <c r="K470" t="s">
        <v>944</v>
      </c>
    </row>
    <row r="471" spans="1:11" x14ac:dyDescent="0.25">
      <c r="A471" t="s">
        <v>68</v>
      </c>
      <c r="B471" t="s">
        <v>936</v>
      </c>
      <c r="C471" s="3">
        <v>3341</v>
      </c>
      <c r="D471" s="3">
        <v>-2895</v>
      </c>
      <c r="E471" s="3">
        <v>4928</v>
      </c>
      <c r="F471">
        <v>4624</v>
      </c>
      <c r="G471">
        <v>1612</v>
      </c>
      <c r="H471">
        <v>76</v>
      </c>
      <c r="I471" t="s">
        <v>940</v>
      </c>
      <c r="J471">
        <v>3</v>
      </c>
      <c r="K471" t="s">
        <v>949</v>
      </c>
    </row>
    <row r="472" spans="1:11" x14ac:dyDescent="0.25">
      <c r="A472" t="s">
        <v>418</v>
      </c>
      <c r="B472" t="s">
        <v>936</v>
      </c>
      <c r="C472" s="3">
        <v>6155</v>
      </c>
      <c r="D472" s="3">
        <v>1320</v>
      </c>
      <c r="E472" s="3">
        <v>8297</v>
      </c>
      <c r="F472">
        <v>2945</v>
      </c>
      <c r="G472">
        <v>1890</v>
      </c>
      <c r="H472">
        <v>91</v>
      </c>
      <c r="I472" t="s">
        <v>941</v>
      </c>
      <c r="J472">
        <v>5</v>
      </c>
      <c r="K472" t="s">
        <v>952</v>
      </c>
    </row>
    <row r="473" spans="1:11" x14ac:dyDescent="0.25">
      <c r="A473" t="s">
        <v>419</v>
      </c>
      <c r="B473" t="s">
        <v>935</v>
      </c>
      <c r="C473" s="3">
        <v>3821</v>
      </c>
      <c r="D473" s="3">
        <v>-286</v>
      </c>
      <c r="E473" s="3">
        <v>6438</v>
      </c>
      <c r="F473">
        <v>3218</v>
      </c>
      <c r="G473">
        <v>889</v>
      </c>
      <c r="H473">
        <v>30</v>
      </c>
      <c r="I473" t="s">
        <v>939</v>
      </c>
      <c r="J473">
        <v>4</v>
      </c>
      <c r="K473" t="s">
        <v>952</v>
      </c>
    </row>
    <row r="474" spans="1:11" x14ac:dyDescent="0.25">
      <c r="A474" t="s">
        <v>420</v>
      </c>
      <c r="B474" t="s">
        <v>937</v>
      </c>
      <c r="C474" s="3">
        <v>7616</v>
      </c>
      <c r="D474" s="3">
        <v>4790</v>
      </c>
      <c r="E474" s="3">
        <v>5748</v>
      </c>
      <c r="F474">
        <v>1794</v>
      </c>
      <c r="G474">
        <v>1032</v>
      </c>
      <c r="H474">
        <v>105</v>
      </c>
      <c r="I474" t="s">
        <v>938</v>
      </c>
      <c r="J474">
        <v>4</v>
      </c>
      <c r="K474" t="s">
        <v>951</v>
      </c>
    </row>
    <row r="475" spans="1:11" x14ac:dyDescent="0.25">
      <c r="A475" t="s">
        <v>205</v>
      </c>
      <c r="B475" t="s">
        <v>936</v>
      </c>
      <c r="C475" s="3">
        <v>10165</v>
      </c>
      <c r="D475" s="3">
        <v>7229</v>
      </c>
      <c r="E475" s="3">
        <v>9267</v>
      </c>
      <c r="F475">
        <v>1123</v>
      </c>
      <c r="G475">
        <v>1813</v>
      </c>
      <c r="H475">
        <v>24</v>
      </c>
      <c r="I475" t="s">
        <v>938</v>
      </c>
      <c r="J475">
        <v>8</v>
      </c>
      <c r="K475" t="s">
        <v>947</v>
      </c>
    </row>
    <row r="476" spans="1:11" x14ac:dyDescent="0.25">
      <c r="A476" t="s">
        <v>421</v>
      </c>
      <c r="B476" t="s">
        <v>935</v>
      </c>
      <c r="C476" s="3">
        <v>11026</v>
      </c>
      <c r="D476" s="3">
        <v>6337</v>
      </c>
      <c r="E476" s="3">
        <v>9428</v>
      </c>
      <c r="F476">
        <v>3918</v>
      </c>
      <c r="G476">
        <v>771</v>
      </c>
      <c r="H476">
        <v>79</v>
      </c>
      <c r="I476" t="s">
        <v>939</v>
      </c>
      <c r="J476">
        <v>6</v>
      </c>
      <c r="K476" t="s">
        <v>953</v>
      </c>
    </row>
    <row r="477" spans="1:11" x14ac:dyDescent="0.25">
      <c r="A477" t="s">
        <v>422</v>
      </c>
      <c r="B477" t="s">
        <v>935</v>
      </c>
      <c r="C477" s="3">
        <v>11166</v>
      </c>
      <c r="D477" s="3">
        <v>8526</v>
      </c>
      <c r="E477" s="3">
        <v>6535</v>
      </c>
      <c r="F477">
        <v>1556</v>
      </c>
      <c r="G477">
        <v>1084</v>
      </c>
      <c r="H477">
        <v>32</v>
      </c>
      <c r="I477" t="s">
        <v>941</v>
      </c>
      <c r="J477">
        <v>9</v>
      </c>
      <c r="K477" t="s">
        <v>946</v>
      </c>
    </row>
    <row r="478" spans="1:11" x14ac:dyDescent="0.25">
      <c r="A478" t="s">
        <v>250</v>
      </c>
      <c r="B478" t="s">
        <v>934</v>
      </c>
      <c r="C478" s="3">
        <v>4047</v>
      </c>
      <c r="D478" s="3">
        <v>-546</v>
      </c>
      <c r="E478" s="3">
        <v>4905</v>
      </c>
      <c r="F478">
        <v>3299</v>
      </c>
      <c r="G478">
        <v>1294</v>
      </c>
      <c r="H478">
        <v>83</v>
      </c>
      <c r="I478" t="s">
        <v>938</v>
      </c>
      <c r="J478">
        <v>6</v>
      </c>
      <c r="K478" t="s">
        <v>952</v>
      </c>
    </row>
    <row r="479" spans="1:11" x14ac:dyDescent="0.25">
      <c r="A479" t="s">
        <v>423</v>
      </c>
      <c r="B479" t="s">
        <v>934</v>
      </c>
      <c r="C479" s="3">
        <v>4146</v>
      </c>
      <c r="D479" s="3">
        <v>1080</v>
      </c>
      <c r="E479" s="3">
        <v>8869</v>
      </c>
      <c r="F479">
        <v>1328</v>
      </c>
      <c r="G479">
        <v>1738</v>
      </c>
      <c r="H479">
        <v>72</v>
      </c>
      <c r="I479" t="s">
        <v>939</v>
      </c>
      <c r="J479">
        <v>7</v>
      </c>
      <c r="K479" t="s">
        <v>950</v>
      </c>
    </row>
    <row r="480" spans="1:11" x14ac:dyDescent="0.25">
      <c r="A480" t="s">
        <v>424</v>
      </c>
      <c r="B480" t="s">
        <v>934</v>
      </c>
      <c r="C480" s="3">
        <v>8663</v>
      </c>
      <c r="D480" s="3">
        <v>2920</v>
      </c>
      <c r="E480" s="3">
        <v>7303</v>
      </c>
      <c r="F480">
        <v>3881</v>
      </c>
      <c r="G480">
        <v>1862</v>
      </c>
      <c r="H480">
        <v>30</v>
      </c>
      <c r="I480" t="s">
        <v>939</v>
      </c>
      <c r="J480">
        <v>5</v>
      </c>
      <c r="K480" t="s">
        <v>953</v>
      </c>
    </row>
    <row r="481" spans="1:11" x14ac:dyDescent="0.25">
      <c r="A481" t="s">
        <v>425</v>
      </c>
      <c r="B481" t="s">
        <v>934</v>
      </c>
      <c r="C481" s="3">
        <v>6245</v>
      </c>
      <c r="D481" s="3">
        <v>-571</v>
      </c>
      <c r="E481" s="3">
        <v>8548</v>
      </c>
      <c r="F481">
        <v>4970</v>
      </c>
      <c r="G481">
        <v>1846</v>
      </c>
      <c r="H481">
        <v>15</v>
      </c>
      <c r="I481" t="s">
        <v>938</v>
      </c>
      <c r="J481">
        <v>3</v>
      </c>
      <c r="K481" t="s">
        <v>953</v>
      </c>
    </row>
    <row r="482" spans="1:11" x14ac:dyDescent="0.25">
      <c r="A482" t="s">
        <v>426</v>
      </c>
      <c r="B482" t="s">
        <v>937</v>
      </c>
      <c r="C482" s="3">
        <v>4487</v>
      </c>
      <c r="D482" s="3">
        <v>2364</v>
      </c>
      <c r="E482" s="3">
        <v>4929</v>
      </c>
      <c r="F482">
        <v>1632</v>
      </c>
      <c r="G482">
        <v>491</v>
      </c>
      <c r="H482">
        <v>39</v>
      </c>
      <c r="I482" t="s">
        <v>942</v>
      </c>
      <c r="J482">
        <v>4</v>
      </c>
      <c r="K482" t="s">
        <v>949</v>
      </c>
    </row>
    <row r="483" spans="1:11" x14ac:dyDescent="0.25">
      <c r="A483" t="s">
        <v>427</v>
      </c>
      <c r="B483" t="s">
        <v>937</v>
      </c>
      <c r="C483" s="3">
        <v>11789</v>
      </c>
      <c r="D483" s="3">
        <v>8753</v>
      </c>
      <c r="E483" s="3">
        <v>4234</v>
      </c>
      <c r="F483">
        <v>2260</v>
      </c>
      <c r="G483">
        <v>776</v>
      </c>
      <c r="H483">
        <v>59</v>
      </c>
      <c r="I483" t="s">
        <v>939</v>
      </c>
      <c r="J483">
        <v>3</v>
      </c>
      <c r="K483" t="s">
        <v>944</v>
      </c>
    </row>
    <row r="484" spans="1:11" x14ac:dyDescent="0.25">
      <c r="A484" t="s">
        <v>428</v>
      </c>
      <c r="B484" t="s">
        <v>934</v>
      </c>
      <c r="C484" s="3">
        <v>5981</v>
      </c>
      <c r="D484" s="3">
        <v>590</v>
      </c>
      <c r="E484" s="3">
        <v>6389</v>
      </c>
      <c r="F484">
        <v>4591</v>
      </c>
      <c r="G484">
        <v>800</v>
      </c>
      <c r="H484">
        <v>16</v>
      </c>
      <c r="I484" t="s">
        <v>942</v>
      </c>
      <c r="J484">
        <v>2</v>
      </c>
      <c r="K484" t="s">
        <v>952</v>
      </c>
    </row>
    <row r="485" spans="1:11" x14ac:dyDescent="0.25">
      <c r="A485" t="s">
        <v>429</v>
      </c>
      <c r="B485" t="s">
        <v>936</v>
      </c>
      <c r="C485" s="3">
        <v>2976</v>
      </c>
      <c r="D485" s="3">
        <v>-3237</v>
      </c>
      <c r="E485" s="3">
        <v>7709</v>
      </c>
      <c r="F485">
        <v>4805</v>
      </c>
      <c r="G485">
        <v>1408</v>
      </c>
      <c r="H485">
        <v>34</v>
      </c>
      <c r="I485" t="s">
        <v>938</v>
      </c>
      <c r="J485">
        <v>8</v>
      </c>
      <c r="K485" t="s">
        <v>950</v>
      </c>
    </row>
    <row r="486" spans="1:11" x14ac:dyDescent="0.25">
      <c r="A486" t="s">
        <v>430</v>
      </c>
      <c r="B486" t="s">
        <v>935</v>
      </c>
      <c r="C486" s="3">
        <v>2704</v>
      </c>
      <c r="D486" s="3">
        <v>-3980</v>
      </c>
      <c r="E486" s="3">
        <v>9914</v>
      </c>
      <c r="F486">
        <v>4961</v>
      </c>
      <c r="G486">
        <v>1723</v>
      </c>
      <c r="H486">
        <v>91</v>
      </c>
      <c r="I486" t="s">
        <v>938</v>
      </c>
      <c r="J486">
        <v>2</v>
      </c>
      <c r="K486" t="s">
        <v>948</v>
      </c>
    </row>
    <row r="487" spans="1:11" x14ac:dyDescent="0.25">
      <c r="A487" t="s">
        <v>343</v>
      </c>
      <c r="B487" t="s">
        <v>935</v>
      </c>
      <c r="C487" s="3">
        <v>6677</v>
      </c>
      <c r="D487" s="3">
        <v>2240</v>
      </c>
      <c r="E487" s="3">
        <v>6136</v>
      </c>
      <c r="F487">
        <v>2898</v>
      </c>
      <c r="G487">
        <v>1539</v>
      </c>
      <c r="H487">
        <v>37</v>
      </c>
      <c r="I487" t="s">
        <v>938</v>
      </c>
      <c r="J487">
        <v>10</v>
      </c>
      <c r="K487" t="s">
        <v>949</v>
      </c>
    </row>
    <row r="488" spans="1:11" x14ac:dyDescent="0.25">
      <c r="A488" t="s">
        <v>431</v>
      </c>
      <c r="B488" t="s">
        <v>935</v>
      </c>
      <c r="C488" s="3">
        <v>7177</v>
      </c>
      <c r="D488" s="3">
        <v>3193</v>
      </c>
      <c r="E488" s="3">
        <v>4996</v>
      </c>
      <c r="F488">
        <v>2601</v>
      </c>
      <c r="G488">
        <v>1383</v>
      </c>
      <c r="H488">
        <v>24</v>
      </c>
      <c r="I488" t="s">
        <v>939</v>
      </c>
      <c r="J488">
        <v>9</v>
      </c>
      <c r="K488" t="s">
        <v>954</v>
      </c>
    </row>
    <row r="489" spans="1:11" x14ac:dyDescent="0.25">
      <c r="A489" t="s">
        <v>432</v>
      </c>
      <c r="B489" t="s">
        <v>936</v>
      </c>
      <c r="C489" s="3">
        <v>3201</v>
      </c>
      <c r="D489" s="3">
        <v>-1465</v>
      </c>
      <c r="E489" s="3">
        <v>4955</v>
      </c>
      <c r="F489">
        <v>4411</v>
      </c>
      <c r="G489">
        <v>255</v>
      </c>
      <c r="H489">
        <v>107</v>
      </c>
      <c r="I489" t="s">
        <v>940</v>
      </c>
      <c r="J489">
        <v>2</v>
      </c>
      <c r="K489" t="s">
        <v>947</v>
      </c>
    </row>
    <row r="490" spans="1:11" x14ac:dyDescent="0.25">
      <c r="A490" t="s">
        <v>433</v>
      </c>
      <c r="B490" t="s">
        <v>936</v>
      </c>
      <c r="C490" s="3">
        <v>11198</v>
      </c>
      <c r="D490" s="3">
        <v>6743</v>
      </c>
      <c r="E490" s="3">
        <v>8807</v>
      </c>
      <c r="F490">
        <v>4104</v>
      </c>
      <c r="G490">
        <v>351</v>
      </c>
      <c r="H490">
        <v>16</v>
      </c>
      <c r="I490" t="s">
        <v>938</v>
      </c>
      <c r="J490">
        <v>4</v>
      </c>
      <c r="K490" t="s">
        <v>954</v>
      </c>
    </row>
    <row r="491" spans="1:11" x14ac:dyDescent="0.25">
      <c r="A491" t="s">
        <v>434</v>
      </c>
      <c r="B491" t="s">
        <v>934</v>
      </c>
      <c r="C491" s="3">
        <v>6123</v>
      </c>
      <c r="D491" s="3">
        <v>4270</v>
      </c>
      <c r="E491" s="3">
        <v>4406</v>
      </c>
      <c r="F491">
        <v>1297</v>
      </c>
      <c r="G491">
        <v>556</v>
      </c>
      <c r="H491">
        <v>37</v>
      </c>
      <c r="I491" t="s">
        <v>939</v>
      </c>
      <c r="J491">
        <v>1</v>
      </c>
      <c r="K491" t="s">
        <v>943</v>
      </c>
    </row>
    <row r="492" spans="1:11" x14ac:dyDescent="0.25">
      <c r="A492" t="s">
        <v>146</v>
      </c>
      <c r="B492" t="s">
        <v>935</v>
      </c>
      <c r="C492" s="3">
        <v>8195</v>
      </c>
      <c r="D492" s="3">
        <v>2889</v>
      </c>
      <c r="E492" s="3">
        <v>5535</v>
      </c>
      <c r="F492">
        <v>4208</v>
      </c>
      <c r="G492">
        <v>1098</v>
      </c>
      <c r="H492">
        <v>84</v>
      </c>
      <c r="I492" t="s">
        <v>942</v>
      </c>
      <c r="J492">
        <v>8</v>
      </c>
      <c r="K492" t="s">
        <v>953</v>
      </c>
    </row>
    <row r="493" spans="1:11" x14ac:dyDescent="0.25">
      <c r="A493" t="s">
        <v>57</v>
      </c>
      <c r="B493" t="s">
        <v>936</v>
      </c>
      <c r="C493" s="3">
        <v>5865</v>
      </c>
      <c r="D493" s="3">
        <v>1046</v>
      </c>
      <c r="E493" s="3">
        <v>7540</v>
      </c>
      <c r="F493">
        <v>3468</v>
      </c>
      <c r="G493">
        <v>1351</v>
      </c>
      <c r="H493">
        <v>36</v>
      </c>
      <c r="I493" t="s">
        <v>938</v>
      </c>
      <c r="J493">
        <v>3</v>
      </c>
      <c r="K493" t="s">
        <v>943</v>
      </c>
    </row>
    <row r="494" spans="1:11" x14ac:dyDescent="0.25">
      <c r="A494" t="s">
        <v>435</v>
      </c>
      <c r="B494" t="s">
        <v>936</v>
      </c>
      <c r="C494" s="3">
        <v>5163</v>
      </c>
      <c r="D494" s="3">
        <v>757</v>
      </c>
      <c r="E494" s="3">
        <v>4255</v>
      </c>
      <c r="F494">
        <v>3465</v>
      </c>
      <c r="G494">
        <v>941</v>
      </c>
      <c r="H494">
        <v>90</v>
      </c>
      <c r="I494" t="s">
        <v>938</v>
      </c>
      <c r="J494">
        <v>7</v>
      </c>
      <c r="K494" t="s">
        <v>951</v>
      </c>
    </row>
    <row r="495" spans="1:11" x14ac:dyDescent="0.25">
      <c r="A495" t="s">
        <v>436</v>
      </c>
      <c r="B495" t="s">
        <v>934</v>
      </c>
      <c r="C495" s="3">
        <v>5861</v>
      </c>
      <c r="D495" s="3">
        <v>4314</v>
      </c>
      <c r="E495" s="3">
        <v>4109</v>
      </c>
      <c r="F495">
        <v>1224</v>
      </c>
      <c r="G495">
        <v>323</v>
      </c>
      <c r="H495">
        <v>26</v>
      </c>
      <c r="I495" t="s">
        <v>938</v>
      </c>
      <c r="J495">
        <v>4</v>
      </c>
      <c r="K495" t="s">
        <v>950</v>
      </c>
    </row>
    <row r="496" spans="1:11" x14ac:dyDescent="0.25">
      <c r="A496" t="s">
        <v>437</v>
      </c>
      <c r="B496" t="s">
        <v>934</v>
      </c>
      <c r="C496" s="3">
        <v>5267</v>
      </c>
      <c r="D496" s="3">
        <v>-131</v>
      </c>
      <c r="E496" s="3">
        <v>9251</v>
      </c>
      <c r="F496">
        <v>4547</v>
      </c>
      <c r="G496">
        <v>851</v>
      </c>
      <c r="H496">
        <v>42</v>
      </c>
      <c r="I496" t="s">
        <v>940</v>
      </c>
      <c r="J496">
        <v>1</v>
      </c>
      <c r="K496" t="s">
        <v>952</v>
      </c>
    </row>
    <row r="497" spans="1:11" x14ac:dyDescent="0.25">
      <c r="A497" t="s">
        <v>193</v>
      </c>
      <c r="B497" t="s">
        <v>935</v>
      </c>
      <c r="C497" s="3">
        <v>5555</v>
      </c>
      <c r="D497" s="3">
        <v>3286</v>
      </c>
      <c r="E497" s="3">
        <v>9570</v>
      </c>
      <c r="F497">
        <v>850</v>
      </c>
      <c r="G497">
        <v>1419</v>
      </c>
      <c r="H497">
        <v>28</v>
      </c>
      <c r="I497" t="s">
        <v>941</v>
      </c>
      <c r="J497">
        <v>7</v>
      </c>
      <c r="K497" t="s">
        <v>950</v>
      </c>
    </row>
    <row r="498" spans="1:11" x14ac:dyDescent="0.25">
      <c r="A498" t="s">
        <v>438</v>
      </c>
      <c r="B498" t="s">
        <v>935</v>
      </c>
      <c r="C498" s="3">
        <v>9161</v>
      </c>
      <c r="D498" s="3">
        <v>3958</v>
      </c>
      <c r="E498" s="3">
        <v>4864</v>
      </c>
      <c r="F498">
        <v>3649</v>
      </c>
      <c r="G498">
        <v>1554</v>
      </c>
      <c r="H498">
        <v>95</v>
      </c>
      <c r="I498" t="s">
        <v>940</v>
      </c>
      <c r="J498">
        <v>6</v>
      </c>
      <c r="K498" t="s">
        <v>945</v>
      </c>
    </row>
    <row r="499" spans="1:11" x14ac:dyDescent="0.25">
      <c r="A499" t="s">
        <v>439</v>
      </c>
      <c r="B499" t="s">
        <v>934</v>
      </c>
      <c r="C499" s="3">
        <v>4574</v>
      </c>
      <c r="D499" s="3">
        <v>282</v>
      </c>
      <c r="E499" s="3">
        <v>7941</v>
      </c>
      <c r="F499">
        <v>2859</v>
      </c>
      <c r="G499">
        <v>1433</v>
      </c>
      <c r="H499">
        <v>62</v>
      </c>
      <c r="I499" t="s">
        <v>939</v>
      </c>
      <c r="J499">
        <v>8</v>
      </c>
      <c r="K499" t="s">
        <v>949</v>
      </c>
    </row>
    <row r="500" spans="1:11" x14ac:dyDescent="0.25">
      <c r="A500" t="s">
        <v>440</v>
      </c>
      <c r="B500" t="s">
        <v>936</v>
      </c>
      <c r="C500" s="3">
        <v>11434</v>
      </c>
      <c r="D500" s="3">
        <v>7608</v>
      </c>
      <c r="E500" s="3">
        <v>4077</v>
      </c>
      <c r="F500">
        <v>3061</v>
      </c>
      <c r="G500">
        <v>765</v>
      </c>
      <c r="H500">
        <v>54</v>
      </c>
      <c r="I500" t="s">
        <v>938</v>
      </c>
      <c r="J500">
        <v>5</v>
      </c>
      <c r="K500" t="s">
        <v>944</v>
      </c>
    </row>
    <row r="501" spans="1:11" x14ac:dyDescent="0.25">
      <c r="A501" t="s">
        <v>441</v>
      </c>
      <c r="B501" t="s">
        <v>936</v>
      </c>
      <c r="C501" s="3">
        <v>5806</v>
      </c>
      <c r="D501" s="3">
        <v>3413</v>
      </c>
      <c r="E501" s="3">
        <v>6669</v>
      </c>
      <c r="F501">
        <v>1016</v>
      </c>
      <c r="G501">
        <v>1377</v>
      </c>
      <c r="H501">
        <v>62</v>
      </c>
      <c r="I501" t="s">
        <v>941</v>
      </c>
      <c r="J501">
        <v>1</v>
      </c>
      <c r="K501" t="s">
        <v>947</v>
      </c>
    </row>
    <row r="502" spans="1:11" x14ac:dyDescent="0.25">
      <c r="A502" t="s">
        <v>442</v>
      </c>
      <c r="B502" t="s">
        <v>937</v>
      </c>
      <c r="C502" s="3">
        <v>4337</v>
      </c>
      <c r="D502" s="3">
        <v>-1943</v>
      </c>
      <c r="E502" s="3">
        <v>7678</v>
      </c>
      <c r="F502">
        <v>4409</v>
      </c>
      <c r="G502">
        <v>1871</v>
      </c>
      <c r="H502">
        <v>34</v>
      </c>
      <c r="I502" t="s">
        <v>941</v>
      </c>
      <c r="J502">
        <v>4</v>
      </c>
      <c r="K502" t="s">
        <v>953</v>
      </c>
    </row>
    <row r="503" spans="1:11" x14ac:dyDescent="0.25">
      <c r="A503" t="s">
        <v>322</v>
      </c>
      <c r="B503" t="s">
        <v>937</v>
      </c>
      <c r="C503" s="3">
        <v>7404</v>
      </c>
      <c r="D503" s="3">
        <v>2127</v>
      </c>
      <c r="E503" s="3">
        <v>8704</v>
      </c>
      <c r="F503">
        <v>3520</v>
      </c>
      <c r="G503">
        <v>1757</v>
      </c>
      <c r="H503">
        <v>64</v>
      </c>
      <c r="I503" t="s">
        <v>942</v>
      </c>
      <c r="J503">
        <v>8</v>
      </c>
      <c r="K503" t="s">
        <v>948</v>
      </c>
    </row>
    <row r="504" spans="1:11" x14ac:dyDescent="0.25">
      <c r="A504" t="s">
        <v>103</v>
      </c>
      <c r="B504" t="s">
        <v>934</v>
      </c>
      <c r="C504" s="3">
        <v>8640</v>
      </c>
      <c r="D504" s="3">
        <v>3172</v>
      </c>
      <c r="E504" s="3">
        <v>4799</v>
      </c>
      <c r="F504">
        <v>3926</v>
      </c>
      <c r="G504">
        <v>1542</v>
      </c>
      <c r="H504">
        <v>86</v>
      </c>
      <c r="I504" t="s">
        <v>941</v>
      </c>
      <c r="J504">
        <v>5</v>
      </c>
      <c r="K504" t="s">
        <v>943</v>
      </c>
    </row>
    <row r="505" spans="1:11" x14ac:dyDescent="0.25">
      <c r="A505" t="s">
        <v>443</v>
      </c>
      <c r="B505" t="s">
        <v>935</v>
      </c>
      <c r="C505" s="3">
        <v>2942</v>
      </c>
      <c r="D505" s="3">
        <v>-2441</v>
      </c>
      <c r="E505" s="3">
        <v>5649</v>
      </c>
      <c r="F505">
        <v>3820</v>
      </c>
      <c r="G505">
        <v>1563</v>
      </c>
      <c r="H505">
        <v>14</v>
      </c>
      <c r="I505" t="s">
        <v>939</v>
      </c>
      <c r="J505">
        <v>3</v>
      </c>
      <c r="K505" t="s">
        <v>951</v>
      </c>
    </row>
    <row r="506" spans="1:11" x14ac:dyDescent="0.25">
      <c r="A506" t="s">
        <v>444</v>
      </c>
      <c r="B506" t="s">
        <v>934</v>
      </c>
      <c r="C506" s="3">
        <v>7967</v>
      </c>
      <c r="D506" s="3">
        <v>5373</v>
      </c>
      <c r="E506" s="3">
        <v>4252</v>
      </c>
      <c r="F506">
        <v>944</v>
      </c>
      <c r="G506">
        <v>1650</v>
      </c>
      <c r="H506">
        <v>35</v>
      </c>
      <c r="I506" t="s">
        <v>939</v>
      </c>
      <c r="J506">
        <v>2</v>
      </c>
      <c r="K506" t="s">
        <v>944</v>
      </c>
    </row>
    <row r="507" spans="1:11" x14ac:dyDescent="0.25">
      <c r="A507" t="s">
        <v>445</v>
      </c>
      <c r="B507" t="s">
        <v>937</v>
      </c>
      <c r="C507" s="3">
        <v>9327</v>
      </c>
      <c r="D507" s="3">
        <v>4640</v>
      </c>
      <c r="E507" s="3">
        <v>6682</v>
      </c>
      <c r="F507">
        <v>4293</v>
      </c>
      <c r="G507">
        <v>394</v>
      </c>
      <c r="H507">
        <v>44</v>
      </c>
      <c r="I507" t="s">
        <v>938</v>
      </c>
      <c r="J507">
        <v>1</v>
      </c>
      <c r="K507" t="s">
        <v>943</v>
      </c>
    </row>
    <row r="508" spans="1:11" x14ac:dyDescent="0.25">
      <c r="A508" t="s">
        <v>446</v>
      </c>
      <c r="B508" t="s">
        <v>936</v>
      </c>
      <c r="C508" s="3">
        <v>7162</v>
      </c>
      <c r="D508" s="3">
        <v>2886</v>
      </c>
      <c r="E508" s="3">
        <v>5389</v>
      </c>
      <c r="F508">
        <v>2730</v>
      </c>
      <c r="G508">
        <v>1546</v>
      </c>
      <c r="H508">
        <v>100</v>
      </c>
      <c r="I508" t="s">
        <v>939</v>
      </c>
      <c r="J508">
        <v>8</v>
      </c>
      <c r="K508" t="s">
        <v>949</v>
      </c>
    </row>
    <row r="509" spans="1:11" x14ac:dyDescent="0.25">
      <c r="A509" t="s">
        <v>447</v>
      </c>
      <c r="B509" t="s">
        <v>936</v>
      </c>
      <c r="C509" s="3">
        <v>2766</v>
      </c>
      <c r="D509" s="3">
        <v>-35</v>
      </c>
      <c r="E509" s="3">
        <v>5848</v>
      </c>
      <c r="F509">
        <v>1067</v>
      </c>
      <c r="G509">
        <v>1734</v>
      </c>
      <c r="H509">
        <v>111</v>
      </c>
      <c r="I509" t="s">
        <v>938</v>
      </c>
      <c r="J509">
        <v>9</v>
      </c>
      <c r="K509" t="s">
        <v>947</v>
      </c>
    </row>
    <row r="510" spans="1:11" x14ac:dyDescent="0.25">
      <c r="A510" t="s">
        <v>167</v>
      </c>
      <c r="B510" t="s">
        <v>937</v>
      </c>
      <c r="C510" s="3">
        <v>5342</v>
      </c>
      <c r="D510" s="3">
        <v>2378</v>
      </c>
      <c r="E510" s="3">
        <v>8173</v>
      </c>
      <c r="F510">
        <v>1820</v>
      </c>
      <c r="G510">
        <v>1144</v>
      </c>
      <c r="H510">
        <v>48</v>
      </c>
      <c r="I510" t="s">
        <v>938</v>
      </c>
      <c r="J510">
        <v>10</v>
      </c>
      <c r="K510" t="s">
        <v>943</v>
      </c>
    </row>
    <row r="511" spans="1:11" x14ac:dyDescent="0.25">
      <c r="A511" t="s">
        <v>448</v>
      </c>
      <c r="B511" t="s">
        <v>936</v>
      </c>
      <c r="C511" s="3">
        <v>7570</v>
      </c>
      <c r="D511" s="3">
        <v>1883</v>
      </c>
      <c r="E511" s="3">
        <v>6153</v>
      </c>
      <c r="F511">
        <v>3805</v>
      </c>
      <c r="G511">
        <v>1882</v>
      </c>
      <c r="H511">
        <v>44</v>
      </c>
      <c r="I511" t="s">
        <v>940</v>
      </c>
      <c r="J511">
        <v>7</v>
      </c>
      <c r="K511" t="s">
        <v>948</v>
      </c>
    </row>
    <row r="512" spans="1:11" x14ac:dyDescent="0.25">
      <c r="A512" t="s">
        <v>449</v>
      </c>
      <c r="B512" t="s">
        <v>935</v>
      </c>
      <c r="C512" s="3">
        <v>8000</v>
      </c>
      <c r="D512" s="3">
        <v>4758</v>
      </c>
      <c r="E512" s="3">
        <v>6998</v>
      </c>
      <c r="F512">
        <v>2981</v>
      </c>
      <c r="G512">
        <v>261</v>
      </c>
      <c r="H512">
        <v>38</v>
      </c>
      <c r="I512" t="s">
        <v>939</v>
      </c>
      <c r="J512">
        <v>6</v>
      </c>
      <c r="K512" t="s">
        <v>949</v>
      </c>
    </row>
    <row r="513" spans="1:11" x14ac:dyDescent="0.25">
      <c r="A513" t="s">
        <v>450</v>
      </c>
      <c r="B513" t="s">
        <v>936</v>
      </c>
      <c r="C513" s="3">
        <v>8510</v>
      </c>
      <c r="D513" s="3">
        <v>4444</v>
      </c>
      <c r="E513" s="3">
        <v>8819</v>
      </c>
      <c r="F513">
        <v>2608</v>
      </c>
      <c r="G513">
        <v>1458</v>
      </c>
      <c r="H513">
        <v>114</v>
      </c>
      <c r="I513" t="s">
        <v>942</v>
      </c>
      <c r="J513">
        <v>5</v>
      </c>
      <c r="K513" t="s">
        <v>943</v>
      </c>
    </row>
    <row r="514" spans="1:11" x14ac:dyDescent="0.25">
      <c r="A514" t="s">
        <v>451</v>
      </c>
      <c r="B514" t="s">
        <v>934</v>
      </c>
      <c r="C514" s="3">
        <v>8618</v>
      </c>
      <c r="D514" s="3">
        <v>4739</v>
      </c>
      <c r="E514" s="3">
        <v>5565</v>
      </c>
      <c r="F514">
        <v>2369</v>
      </c>
      <c r="G514">
        <v>1510</v>
      </c>
      <c r="H514">
        <v>42</v>
      </c>
      <c r="I514" t="s">
        <v>941</v>
      </c>
      <c r="J514">
        <v>4</v>
      </c>
      <c r="K514" t="s">
        <v>943</v>
      </c>
    </row>
    <row r="515" spans="1:11" x14ac:dyDescent="0.25">
      <c r="A515" t="s">
        <v>452</v>
      </c>
      <c r="B515" t="s">
        <v>935</v>
      </c>
      <c r="C515" s="3">
        <v>3874</v>
      </c>
      <c r="D515" s="3">
        <v>2064</v>
      </c>
      <c r="E515" s="3">
        <v>6534</v>
      </c>
      <c r="F515">
        <v>1126</v>
      </c>
      <c r="G515">
        <v>684</v>
      </c>
      <c r="H515">
        <v>34</v>
      </c>
      <c r="I515" t="s">
        <v>940</v>
      </c>
      <c r="J515">
        <v>3</v>
      </c>
      <c r="K515" t="s">
        <v>950</v>
      </c>
    </row>
    <row r="516" spans="1:11" x14ac:dyDescent="0.25">
      <c r="A516" t="s">
        <v>394</v>
      </c>
      <c r="B516" t="s">
        <v>934</v>
      </c>
      <c r="C516" s="3">
        <v>2853</v>
      </c>
      <c r="D516" s="3">
        <v>1358</v>
      </c>
      <c r="E516" s="3">
        <v>4166</v>
      </c>
      <c r="F516">
        <v>1183</v>
      </c>
      <c r="G516">
        <v>312</v>
      </c>
      <c r="H516">
        <v>25</v>
      </c>
      <c r="I516" t="s">
        <v>941</v>
      </c>
      <c r="J516">
        <v>2</v>
      </c>
      <c r="K516" t="s">
        <v>953</v>
      </c>
    </row>
    <row r="517" spans="1:11" x14ac:dyDescent="0.25">
      <c r="A517" t="s">
        <v>453</v>
      </c>
      <c r="B517" t="s">
        <v>937</v>
      </c>
      <c r="C517" s="3">
        <v>7314</v>
      </c>
      <c r="D517" s="3">
        <v>5809</v>
      </c>
      <c r="E517" s="3">
        <v>8399</v>
      </c>
      <c r="F517">
        <v>914</v>
      </c>
      <c r="G517">
        <v>591</v>
      </c>
      <c r="H517">
        <v>19</v>
      </c>
      <c r="I517" t="s">
        <v>940</v>
      </c>
      <c r="J517">
        <v>10</v>
      </c>
      <c r="K517" t="s">
        <v>946</v>
      </c>
    </row>
    <row r="518" spans="1:11" x14ac:dyDescent="0.25">
      <c r="A518" t="s">
        <v>454</v>
      </c>
      <c r="B518" t="s">
        <v>937</v>
      </c>
      <c r="C518" s="3">
        <v>2100</v>
      </c>
      <c r="D518" s="3">
        <v>-2809</v>
      </c>
      <c r="E518" s="3">
        <v>9013</v>
      </c>
      <c r="F518">
        <v>4680</v>
      </c>
      <c r="G518">
        <v>229</v>
      </c>
      <c r="H518">
        <v>65</v>
      </c>
      <c r="I518" t="s">
        <v>938</v>
      </c>
      <c r="J518">
        <v>5</v>
      </c>
      <c r="K518" t="s">
        <v>947</v>
      </c>
    </row>
    <row r="519" spans="1:11" x14ac:dyDescent="0.25">
      <c r="A519" t="s">
        <v>59</v>
      </c>
      <c r="B519" t="s">
        <v>935</v>
      </c>
      <c r="C519" s="3">
        <v>11481</v>
      </c>
      <c r="D519" s="3">
        <v>8869</v>
      </c>
      <c r="E519" s="3">
        <v>4477</v>
      </c>
      <c r="F519">
        <v>952</v>
      </c>
      <c r="G519">
        <v>1660</v>
      </c>
      <c r="H519">
        <v>11</v>
      </c>
      <c r="I519" t="s">
        <v>942</v>
      </c>
      <c r="J519">
        <v>8</v>
      </c>
      <c r="K519" t="s">
        <v>951</v>
      </c>
    </row>
    <row r="520" spans="1:11" x14ac:dyDescent="0.25">
      <c r="A520" t="s">
        <v>455</v>
      </c>
      <c r="B520" t="s">
        <v>935</v>
      </c>
      <c r="C520" s="3">
        <v>9458</v>
      </c>
      <c r="D520" s="3">
        <v>4067</v>
      </c>
      <c r="E520" s="3">
        <v>9510</v>
      </c>
      <c r="F520">
        <v>4791</v>
      </c>
      <c r="G520">
        <v>600</v>
      </c>
      <c r="H520">
        <v>31</v>
      </c>
      <c r="I520" t="s">
        <v>941</v>
      </c>
      <c r="J520">
        <v>6</v>
      </c>
      <c r="K520" t="s">
        <v>944</v>
      </c>
    </row>
    <row r="521" spans="1:11" x14ac:dyDescent="0.25">
      <c r="A521" t="s">
        <v>456</v>
      </c>
      <c r="B521" t="s">
        <v>937</v>
      </c>
      <c r="C521" s="3">
        <v>7930</v>
      </c>
      <c r="D521" s="3">
        <v>3506</v>
      </c>
      <c r="E521" s="3">
        <v>8257</v>
      </c>
      <c r="F521">
        <v>3220</v>
      </c>
      <c r="G521">
        <v>1204</v>
      </c>
      <c r="H521">
        <v>57</v>
      </c>
      <c r="I521" t="s">
        <v>938</v>
      </c>
      <c r="J521">
        <v>8</v>
      </c>
      <c r="K521" t="s">
        <v>945</v>
      </c>
    </row>
    <row r="522" spans="1:11" x14ac:dyDescent="0.25">
      <c r="A522" t="s">
        <v>159</v>
      </c>
      <c r="B522" t="s">
        <v>936</v>
      </c>
      <c r="C522" s="3">
        <v>11278</v>
      </c>
      <c r="D522" s="3">
        <v>6770</v>
      </c>
      <c r="E522" s="3">
        <v>5424</v>
      </c>
      <c r="F522">
        <v>2726</v>
      </c>
      <c r="G522">
        <v>1782</v>
      </c>
      <c r="H522">
        <v>51</v>
      </c>
      <c r="I522" t="s">
        <v>939</v>
      </c>
      <c r="J522">
        <v>3</v>
      </c>
      <c r="K522" t="s">
        <v>947</v>
      </c>
    </row>
    <row r="523" spans="1:11" x14ac:dyDescent="0.25">
      <c r="A523" t="s">
        <v>457</v>
      </c>
      <c r="B523" t="s">
        <v>936</v>
      </c>
      <c r="C523" s="3">
        <v>2983</v>
      </c>
      <c r="D523" s="3">
        <v>-400</v>
      </c>
      <c r="E523" s="3">
        <v>5072</v>
      </c>
      <c r="F523">
        <v>1431</v>
      </c>
      <c r="G523">
        <v>1952</v>
      </c>
      <c r="H523">
        <v>107</v>
      </c>
      <c r="I523" t="s">
        <v>941</v>
      </c>
      <c r="J523">
        <v>5</v>
      </c>
      <c r="K523" t="s">
        <v>950</v>
      </c>
    </row>
    <row r="524" spans="1:11" x14ac:dyDescent="0.25">
      <c r="A524" t="s">
        <v>295</v>
      </c>
      <c r="B524" t="s">
        <v>935</v>
      </c>
      <c r="C524" s="3">
        <v>11841</v>
      </c>
      <c r="D524" s="3">
        <v>7608</v>
      </c>
      <c r="E524" s="3">
        <v>4536</v>
      </c>
      <c r="F524">
        <v>3205</v>
      </c>
      <c r="G524">
        <v>1028</v>
      </c>
      <c r="H524">
        <v>118</v>
      </c>
      <c r="I524" t="s">
        <v>940</v>
      </c>
      <c r="J524">
        <v>8</v>
      </c>
      <c r="K524" t="s">
        <v>952</v>
      </c>
    </row>
    <row r="525" spans="1:11" x14ac:dyDescent="0.25">
      <c r="A525" t="s">
        <v>458</v>
      </c>
      <c r="B525" t="s">
        <v>935</v>
      </c>
      <c r="C525" s="3">
        <v>7785</v>
      </c>
      <c r="D525" s="3">
        <v>5425</v>
      </c>
      <c r="E525" s="3">
        <v>4078</v>
      </c>
      <c r="F525">
        <v>1159</v>
      </c>
      <c r="G525">
        <v>1201</v>
      </c>
      <c r="H525">
        <v>76</v>
      </c>
      <c r="I525" t="s">
        <v>941</v>
      </c>
      <c r="J525">
        <v>1</v>
      </c>
      <c r="K525" t="s">
        <v>947</v>
      </c>
    </row>
    <row r="526" spans="1:11" x14ac:dyDescent="0.25">
      <c r="A526" t="s">
        <v>459</v>
      </c>
      <c r="B526" t="s">
        <v>934</v>
      </c>
      <c r="C526" s="3">
        <v>10222</v>
      </c>
      <c r="D526" s="3">
        <v>3678</v>
      </c>
      <c r="E526" s="3">
        <v>4583</v>
      </c>
      <c r="F526">
        <v>4758</v>
      </c>
      <c r="G526">
        <v>1786</v>
      </c>
      <c r="H526">
        <v>116</v>
      </c>
      <c r="I526" t="s">
        <v>939</v>
      </c>
      <c r="J526">
        <v>5</v>
      </c>
      <c r="K526" t="s">
        <v>944</v>
      </c>
    </row>
    <row r="527" spans="1:11" x14ac:dyDescent="0.25">
      <c r="A527" t="s">
        <v>221</v>
      </c>
      <c r="B527" t="s">
        <v>935</v>
      </c>
      <c r="C527" s="3">
        <v>10915</v>
      </c>
      <c r="D527" s="3">
        <v>8655</v>
      </c>
      <c r="E527" s="3">
        <v>4463</v>
      </c>
      <c r="F527">
        <v>1525</v>
      </c>
      <c r="G527">
        <v>735</v>
      </c>
      <c r="H527">
        <v>88</v>
      </c>
      <c r="I527" t="s">
        <v>939</v>
      </c>
      <c r="J527">
        <v>6</v>
      </c>
      <c r="K527" t="s">
        <v>947</v>
      </c>
    </row>
    <row r="528" spans="1:11" x14ac:dyDescent="0.25">
      <c r="A528" t="s">
        <v>460</v>
      </c>
      <c r="B528" t="s">
        <v>937</v>
      </c>
      <c r="C528" s="3">
        <v>4739</v>
      </c>
      <c r="D528" s="3">
        <v>964</v>
      </c>
      <c r="E528" s="3">
        <v>6206</v>
      </c>
      <c r="F528">
        <v>3291</v>
      </c>
      <c r="G528">
        <v>484</v>
      </c>
      <c r="H528">
        <v>18</v>
      </c>
      <c r="I528" t="s">
        <v>939</v>
      </c>
      <c r="J528">
        <v>1</v>
      </c>
      <c r="K528" t="s">
        <v>944</v>
      </c>
    </row>
    <row r="529" spans="1:11" x14ac:dyDescent="0.25">
      <c r="A529" t="s">
        <v>461</v>
      </c>
      <c r="B529" t="s">
        <v>935</v>
      </c>
      <c r="C529" s="3">
        <v>9749</v>
      </c>
      <c r="D529" s="3">
        <v>6022</v>
      </c>
      <c r="E529" s="3">
        <v>9060</v>
      </c>
      <c r="F529">
        <v>3009</v>
      </c>
      <c r="G529">
        <v>718</v>
      </c>
      <c r="H529">
        <v>51</v>
      </c>
      <c r="I529" t="s">
        <v>942</v>
      </c>
      <c r="J529">
        <v>7</v>
      </c>
      <c r="K529" t="s">
        <v>948</v>
      </c>
    </row>
    <row r="530" spans="1:11" x14ac:dyDescent="0.25">
      <c r="A530" t="s">
        <v>462</v>
      </c>
      <c r="B530" t="s">
        <v>934</v>
      </c>
      <c r="C530" s="3">
        <v>5700</v>
      </c>
      <c r="D530" s="3">
        <v>2268</v>
      </c>
      <c r="E530" s="3">
        <v>4998</v>
      </c>
      <c r="F530">
        <v>3065</v>
      </c>
      <c r="G530">
        <v>367</v>
      </c>
      <c r="H530">
        <v>100</v>
      </c>
      <c r="I530" t="s">
        <v>939</v>
      </c>
      <c r="J530">
        <v>3</v>
      </c>
      <c r="K530" t="s">
        <v>944</v>
      </c>
    </row>
    <row r="531" spans="1:11" x14ac:dyDescent="0.25">
      <c r="A531" t="s">
        <v>307</v>
      </c>
      <c r="B531" t="s">
        <v>936</v>
      </c>
      <c r="C531" s="3">
        <v>11940</v>
      </c>
      <c r="D531" s="3">
        <v>9116</v>
      </c>
      <c r="E531" s="3">
        <v>5745</v>
      </c>
      <c r="F531">
        <v>2146</v>
      </c>
      <c r="G531">
        <v>678</v>
      </c>
      <c r="H531">
        <v>36</v>
      </c>
      <c r="I531" t="s">
        <v>939</v>
      </c>
      <c r="J531">
        <v>6</v>
      </c>
      <c r="K531" t="s">
        <v>946</v>
      </c>
    </row>
    <row r="532" spans="1:11" x14ac:dyDescent="0.25">
      <c r="A532" t="s">
        <v>463</v>
      </c>
      <c r="B532" t="s">
        <v>937</v>
      </c>
      <c r="C532" s="3">
        <v>5840</v>
      </c>
      <c r="D532" s="3">
        <v>549</v>
      </c>
      <c r="E532" s="3">
        <v>9785</v>
      </c>
      <c r="F532">
        <v>3736</v>
      </c>
      <c r="G532">
        <v>1555</v>
      </c>
      <c r="H532">
        <v>100</v>
      </c>
      <c r="I532" t="s">
        <v>938</v>
      </c>
      <c r="J532">
        <v>4</v>
      </c>
      <c r="K532" t="s">
        <v>944</v>
      </c>
    </row>
    <row r="533" spans="1:11" x14ac:dyDescent="0.25">
      <c r="A533" t="s">
        <v>13</v>
      </c>
      <c r="B533" t="s">
        <v>935</v>
      </c>
      <c r="C533" s="3">
        <v>10584</v>
      </c>
      <c r="D533" s="3">
        <v>6167</v>
      </c>
      <c r="E533" s="3">
        <v>9070</v>
      </c>
      <c r="F533">
        <v>4197</v>
      </c>
      <c r="G533">
        <v>220</v>
      </c>
      <c r="H533">
        <v>29</v>
      </c>
      <c r="I533" t="s">
        <v>939</v>
      </c>
      <c r="J533">
        <v>10</v>
      </c>
      <c r="K533" t="s">
        <v>945</v>
      </c>
    </row>
    <row r="534" spans="1:11" x14ac:dyDescent="0.25">
      <c r="A534" t="s">
        <v>464</v>
      </c>
      <c r="B534" t="s">
        <v>935</v>
      </c>
      <c r="C534" s="3">
        <v>6831</v>
      </c>
      <c r="D534" s="3">
        <v>2232</v>
      </c>
      <c r="E534" s="3">
        <v>4555</v>
      </c>
      <c r="F534">
        <v>3764</v>
      </c>
      <c r="G534">
        <v>835</v>
      </c>
      <c r="H534">
        <v>68</v>
      </c>
      <c r="I534" t="s">
        <v>939</v>
      </c>
      <c r="J534">
        <v>1</v>
      </c>
      <c r="K534" t="s">
        <v>954</v>
      </c>
    </row>
    <row r="535" spans="1:11" x14ac:dyDescent="0.25">
      <c r="A535" t="s">
        <v>465</v>
      </c>
      <c r="B535" t="s">
        <v>934</v>
      </c>
      <c r="C535" s="3">
        <v>10806</v>
      </c>
      <c r="D535" s="3">
        <v>6624</v>
      </c>
      <c r="E535" s="3">
        <v>6054</v>
      </c>
      <c r="F535">
        <v>3577</v>
      </c>
      <c r="G535">
        <v>605</v>
      </c>
      <c r="H535">
        <v>17</v>
      </c>
      <c r="I535" t="s">
        <v>942</v>
      </c>
      <c r="J535">
        <v>1</v>
      </c>
      <c r="K535" t="s">
        <v>953</v>
      </c>
    </row>
    <row r="536" spans="1:11" x14ac:dyDescent="0.25">
      <c r="A536" t="s">
        <v>466</v>
      </c>
      <c r="B536" t="s">
        <v>936</v>
      </c>
      <c r="C536" s="3">
        <v>2389</v>
      </c>
      <c r="D536" s="3">
        <v>605</v>
      </c>
      <c r="E536" s="3">
        <v>6336</v>
      </c>
      <c r="F536">
        <v>827</v>
      </c>
      <c r="G536">
        <v>957</v>
      </c>
      <c r="H536">
        <v>67</v>
      </c>
      <c r="I536" t="s">
        <v>942</v>
      </c>
      <c r="J536">
        <v>1</v>
      </c>
      <c r="K536" t="s">
        <v>948</v>
      </c>
    </row>
    <row r="537" spans="1:11" x14ac:dyDescent="0.25">
      <c r="A537" t="s">
        <v>467</v>
      </c>
      <c r="B537" t="s">
        <v>936</v>
      </c>
      <c r="C537" s="3">
        <v>6009</v>
      </c>
      <c r="D537" s="3">
        <v>754</v>
      </c>
      <c r="E537" s="3">
        <v>9644</v>
      </c>
      <c r="F537">
        <v>3328</v>
      </c>
      <c r="G537">
        <v>1927</v>
      </c>
      <c r="H537">
        <v>21</v>
      </c>
      <c r="I537" t="s">
        <v>940</v>
      </c>
      <c r="J537">
        <v>1</v>
      </c>
      <c r="K537" t="s">
        <v>954</v>
      </c>
    </row>
    <row r="538" spans="1:11" x14ac:dyDescent="0.25">
      <c r="A538" t="s">
        <v>363</v>
      </c>
      <c r="B538" t="s">
        <v>937</v>
      </c>
      <c r="C538" s="3">
        <v>8316</v>
      </c>
      <c r="D538" s="3">
        <v>4133</v>
      </c>
      <c r="E538" s="3">
        <v>8165</v>
      </c>
      <c r="F538">
        <v>3587</v>
      </c>
      <c r="G538">
        <v>596</v>
      </c>
      <c r="H538">
        <v>101</v>
      </c>
      <c r="I538" t="s">
        <v>940</v>
      </c>
      <c r="J538">
        <v>2</v>
      </c>
      <c r="K538" t="s">
        <v>950</v>
      </c>
    </row>
    <row r="539" spans="1:11" x14ac:dyDescent="0.25">
      <c r="A539" t="s">
        <v>468</v>
      </c>
      <c r="B539" t="s">
        <v>936</v>
      </c>
      <c r="C539" s="3">
        <v>5439</v>
      </c>
      <c r="D539" s="3">
        <v>2480</v>
      </c>
      <c r="E539" s="3">
        <v>7386</v>
      </c>
      <c r="F539">
        <v>1090</v>
      </c>
      <c r="G539">
        <v>1869</v>
      </c>
      <c r="H539">
        <v>39</v>
      </c>
      <c r="I539" t="s">
        <v>940</v>
      </c>
      <c r="J539">
        <v>5</v>
      </c>
      <c r="K539" t="s">
        <v>946</v>
      </c>
    </row>
    <row r="540" spans="1:11" x14ac:dyDescent="0.25">
      <c r="A540" t="s">
        <v>448</v>
      </c>
      <c r="B540" t="s">
        <v>936</v>
      </c>
      <c r="C540" s="3">
        <v>8378</v>
      </c>
      <c r="D540" s="3">
        <v>4338</v>
      </c>
      <c r="E540" s="3">
        <v>9522</v>
      </c>
      <c r="F540">
        <v>2143</v>
      </c>
      <c r="G540">
        <v>1897</v>
      </c>
      <c r="H540">
        <v>48</v>
      </c>
      <c r="I540" t="s">
        <v>941</v>
      </c>
      <c r="J540">
        <v>2</v>
      </c>
      <c r="K540" t="s">
        <v>948</v>
      </c>
    </row>
    <row r="541" spans="1:11" x14ac:dyDescent="0.25">
      <c r="A541" t="s">
        <v>469</v>
      </c>
      <c r="B541" t="s">
        <v>936</v>
      </c>
      <c r="C541" s="3">
        <v>10402</v>
      </c>
      <c r="D541" s="3">
        <v>7351</v>
      </c>
      <c r="E541" s="3">
        <v>9905</v>
      </c>
      <c r="F541">
        <v>1058</v>
      </c>
      <c r="G541">
        <v>1993</v>
      </c>
      <c r="H541">
        <v>95</v>
      </c>
      <c r="I541" t="s">
        <v>940</v>
      </c>
      <c r="J541">
        <v>3</v>
      </c>
      <c r="K541" t="s">
        <v>951</v>
      </c>
    </row>
    <row r="542" spans="1:11" x14ac:dyDescent="0.25">
      <c r="A542" t="s">
        <v>114</v>
      </c>
      <c r="B542" t="s">
        <v>936</v>
      </c>
      <c r="C542" s="3">
        <v>11817</v>
      </c>
      <c r="D542" s="3">
        <v>6761</v>
      </c>
      <c r="E542" s="3">
        <v>7071</v>
      </c>
      <c r="F542">
        <v>4158</v>
      </c>
      <c r="G542">
        <v>898</v>
      </c>
      <c r="H542">
        <v>30</v>
      </c>
      <c r="I542" t="s">
        <v>938</v>
      </c>
      <c r="J542">
        <v>5</v>
      </c>
      <c r="K542" t="s">
        <v>946</v>
      </c>
    </row>
    <row r="543" spans="1:11" x14ac:dyDescent="0.25">
      <c r="A543" t="s">
        <v>470</v>
      </c>
      <c r="B543" t="s">
        <v>937</v>
      </c>
      <c r="C543" s="3">
        <v>11441</v>
      </c>
      <c r="D543" s="3">
        <v>9814</v>
      </c>
      <c r="E543" s="3">
        <v>4518</v>
      </c>
      <c r="F543">
        <v>1368</v>
      </c>
      <c r="G543">
        <v>259</v>
      </c>
      <c r="H543">
        <v>53</v>
      </c>
      <c r="I543" t="s">
        <v>940</v>
      </c>
      <c r="J543">
        <v>2</v>
      </c>
      <c r="K543" t="s">
        <v>950</v>
      </c>
    </row>
    <row r="544" spans="1:11" x14ac:dyDescent="0.25">
      <c r="A544" t="s">
        <v>471</v>
      </c>
      <c r="B544" t="s">
        <v>934</v>
      </c>
      <c r="C544" s="3">
        <v>11091</v>
      </c>
      <c r="D544" s="3">
        <v>4742</v>
      </c>
      <c r="E544" s="3">
        <v>6648</v>
      </c>
      <c r="F544">
        <v>4588</v>
      </c>
      <c r="G544">
        <v>1761</v>
      </c>
      <c r="H544">
        <v>85</v>
      </c>
      <c r="I544" t="s">
        <v>942</v>
      </c>
      <c r="J544">
        <v>2</v>
      </c>
      <c r="K544" t="s">
        <v>945</v>
      </c>
    </row>
    <row r="545" spans="1:11" x14ac:dyDescent="0.25">
      <c r="A545" t="s">
        <v>472</v>
      </c>
      <c r="B545" t="s">
        <v>937</v>
      </c>
      <c r="C545" s="3">
        <v>11119</v>
      </c>
      <c r="D545" s="3">
        <v>8190</v>
      </c>
      <c r="E545" s="3">
        <v>8518</v>
      </c>
      <c r="F545">
        <v>2382</v>
      </c>
      <c r="G545">
        <v>547</v>
      </c>
      <c r="H545">
        <v>87</v>
      </c>
      <c r="I545" t="s">
        <v>941</v>
      </c>
      <c r="J545">
        <v>3</v>
      </c>
      <c r="K545" t="s">
        <v>949</v>
      </c>
    </row>
    <row r="546" spans="1:11" x14ac:dyDescent="0.25">
      <c r="A546" t="s">
        <v>473</v>
      </c>
      <c r="B546" t="s">
        <v>935</v>
      </c>
      <c r="C546" s="3">
        <v>5330</v>
      </c>
      <c r="D546" s="3">
        <v>1828</v>
      </c>
      <c r="E546" s="3">
        <v>6194</v>
      </c>
      <c r="F546">
        <v>2234</v>
      </c>
      <c r="G546">
        <v>1268</v>
      </c>
      <c r="H546">
        <v>10</v>
      </c>
      <c r="I546" t="s">
        <v>940</v>
      </c>
      <c r="J546">
        <v>8</v>
      </c>
      <c r="K546" t="s">
        <v>946</v>
      </c>
    </row>
    <row r="547" spans="1:11" x14ac:dyDescent="0.25">
      <c r="A547" t="s">
        <v>474</v>
      </c>
      <c r="B547" t="s">
        <v>937</v>
      </c>
      <c r="C547" s="3">
        <v>5264</v>
      </c>
      <c r="D547" s="3">
        <v>750</v>
      </c>
      <c r="E547" s="3">
        <v>6570</v>
      </c>
      <c r="F547">
        <v>3725</v>
      </c>
      <c r="G547">
        <v>789</v>
      </c>
      <c r="H547">
        <v>16</v>
      </c>
      <c r="I547" t="s">
        <v>940</v>
      </c>
      <c r="J547">
        <v>2</v>
      </c>
      <c r="K547" t="s">
        <v>951</v>
      </c>
    </row>
    <row r="548" spans="1:11" x14ac:dyDescent="0.25">
      <c r="A548" t="s">
        <v>475</v>
      </c>
      <c r="B548" t="s">
        <v>937</v>
      </c>
      <c r="C548" s="3">
        <v>7485</v>
      </c>
      <c r="D548" s="3">
        <v>4339</v>
      </c>
      <c r="E548" s="3">
        <v>4421</v>
      </c>
      <c r="F548">
        <v>1336</v>
      </c>
      <c r="G548">
        <v>1810</v>
      </c>
      <c r="H548">
        <v>59</v>
      </c>
      <c r="I548" t="s">
        <v>938</v>
      </c>
      <c r="J548">
        <v>6</v>
      </c>
      <c r="K548" t="s">
        <v>951</v>
      </c>
    </row>
    <row r="549" spans="1:11" x14ac:dyDescent="0.25">
      <c r="A549" t="s">
        <v>476</v>
      </c>
      <c r="B549" t="s">
        <v>936</v>
      </c>
      <c r="C549" s="3">
        <v>3566</v>
      </c>
      <c r="D549" s="3">
        <v>1993</v>
      </c>
      <c r="E549" s="3">
        <v>5680</v>
      </c>
      <c r="F549">
        <v>1366</v>
      </c>
      <c r="G549">
        <v>207</v>
      </c>
      <c r="H549">
        <v>25</v>
      </c>
      <c r="I549" t="s">
        <v>939</v>
      </c>
      <c r="J549">
        <v>7</v>
      </c>
      <c r="K549" t="s">
        <v>945</v>
      </c>
    </row>
    <row r="550" spans="1:11" x14ac:dyDescent="0.25">
      <c r="A550" t="s">
        <v>41</v>
      </c>
      <c r="B550" t="s">
        <v>936</v>
      </c>
      <c r="C550" s="3">
        <v>4038</v>
      </c>
      <c r="D550" s="3">
        <v>-2874</v>
      </c>
      <c r="E550" s="3">
        <v>4728</v>
      </c>
      <c r="F550">
        <v>4915</v>
      </c>
      <c r="G550">
        <v>1997</v>
      </c>
      <c r="H550">
        <v>19</v>
      </c>
      <c r="I550" t="s">
        <v>939</v>
      </c>
      <c r="J550">
        <v>2</v>
      </c>
      <c r="K550" t="s">
        <v>949</v>
      </c>
    </row>
    <row r="551" spans="1:11" x14ac:dyDescent="0.25">
      <c r="A551" t="s">
        <v>216</v>
      </c>
      <c r="B551" t="s">
        <v>935</v>
      </c>
      <c r="C551" s="3">
        <v>3031</v>
      </c>
      <c r="D551" s="3">
        <v>-1186</v>
      </c>
      <c r="E551" s="3">
        <v>4282</v>
      </c>
      <c r="F551">
        <v>2506</v>
      </c>
      <c r="G551">
        <v>1711</v>
      </c>
      <c r="H551">
        <v>49</v>
      </c>
      <c r="I551" t="s">
        <v>938</v>
      </c>
      <c r="J551">
        <v>1</v>
      </c>
      <c r="K551" t="s">
        <v>950</v>
      </c>
    </row>
    <row r="552" spans="1:11" x14ac:dyDescent="0.25">
      <c r="A552" t="s">
        <v>126</v>
      </c>
      <c r="B552" t="s">
        <v>937</v>
      </c>
      <c r="C552" s="3">
        <v>9993</v>
      </c>
      <c r="D552" s="3">
        <v>6500</v>
      </c>
      <c r="E552" s="3">
        <v>8777</v>
      </c>
      <c r="F552">
        <v>1895</v>
      </c>
      <c r="G552">
        <v>1598</v>
      </c>
      <c r="H552">
        <v>110</v>
      </c>
      <c r="I552" t="s">
        <v>940</v>
      </c>
      <c r="J552">
        <v>1</v>
      </c>
      <c r="K552" t="s">
        <v>947</v>
      </c>
    </row>
    <row r="553" spans="1:11" x14ac:dyDescent="0.25">
      <c r="A553" t="s">
        <v>305</v>
      </c>
      <c r="B553" t="s">
        <v>934</v>
      </c>
      <c r="C553" s="3">
        <v>2740</v>
      </c>
      <c r="D553" s="3">
        <v>-359</v>
      </c>
      <c r="E553" s="3">
        <v>8426</v>
      </c>
      <c r="F553">
        <v>1106</v>
      </c>
      <c r="G553">
        <v>1993</v>
      </c>
      <c r="H553">
        <v>34</v>
      </c>
      <c r="I553" t="s">
        <v>940</v>
      </c>
      <c r="J553">
        <v>9</v>
      </c>
      <c r="K553" t="s">
        <v>946</v>
      </c>
    </row>
    <row r="554" spans="1:11" x14ac:dyDescent="0.25">
      <c r="A554" t="s">
        <v>477</v>
      </c>
      <c r="B554" t="s">
        <v>937</v>
      </c>
      <c r="C554" s="3">
        <v>2894</v>
      </c>
      <c r="D554" s="3">
        <v>-2796</v>
      </c>
      <c r="E554" s="3">
        <v>7240</v>
      </c>
      <c r="F554">
        <v>4926</v>
      </c>
      <c r="G554">
        <v>764</v>
      </c>
      <c r="H554">
        <v>30</v>
      </c>
      <c r="I554" t="s">
        <v>941</v>
      </c>
      <c r="J554">
        <v>3</v>
      </c>
      <c r="K554" t="s">
        <v>948</v>
      </c>
    </row>
    <row r="555" spans="1:11" x14ac:dyDescent="0.25">
      <c r="A555" t="s">
        <v>478</v>
      </c>
      <c r="B555" t="s">
        <v>934</v>
      </c>
      <c r="C555" s="3">
        <v>7457</v>
      </c>
      <c r="D555" s="3">
        <v>2175</v>
      </c>
      <c r="E555" s="3">
        <v>9656</v>
      </c>
      <c r="F555">
        <v>4357</v>
      </c>
      <c r="G555">
        <v>925</v>
      </c>
      <c r="H555">
        <v>113</v>
      </c>
      <c r="I555" t="s">
        <v>939</v>
      </c>
      <c r="J555">
        <v>7</v>
      </c>
      <c r="K555" t="s">
        <v>948</v>
      </c>
    </row>
    <row r="556" spans="1:11" x14ac:dyDescent="0.25">
      <c r="A556" t="s">
        <v>66</v>
      </c>
      <c r="B556" t="s">
        <v>936</v>
      </c>
      <c r="C556" s="3">
        <v>8097</v>
      </c>
      <c r="D556" s="3">
        <v>5184</v>
      </c>
      <c r="E556" s="3">
        <v>5293</v>
      </c>
      <c r="F556">
        <v>1745</v>
      </c>
      <c r="G556">
        <v>1168</v>
      </c>
      <c r="H556">
        <v>81</v>
      </c>
      <c r="I556" t="s">
        <v>942</v>
      </c>
      <c r="J556">
        <v>8</v>
      </c>
      <c r="K556" t="s">
        <v>952</v>
      </c>
    </row>
    <row r="557" spans="1:11" x14ac:dyDescent="0.25">
      <c r="A557" t="s">
        <v>479</v>
      </c>
      <c r="B557" t="s">
        <v>934</v>
      </c>
      <c r="C557" s="3">
        <v>8041</v>
      </c>
      <c r="D557" s="3">
        <v>2204</v>
      </c>
      <c r="E557" s="3">
        <v>8016</v>
      </c>
      <c r="F557">
        <v>4204</v>
      </c>
      <c r="G557">
        <v>1633</v>
      </c>
      <c r="H557">
        <v>118</v>
      </c>
      <c r="I557" t="s">
        <v>941</v>
      </c>
      <c r="J557">
        <v>10</v>
      </c>
      <c r="K557" t="s">
        <v>953</v>
      </c>
    </row>
    <row r="558" spans="1:11" x14ac:dyDescent="0.25">
      <c r="A558" t="s">
        <v>91</v>
      </c>
      <c r="B558" t="s">
        <v>935</v>
      </c>
      <c r="C558" s="3">
        <v>9276</v>
      </c>
      <c r="D558" s="3">
        <v>7472</v>
      </c>
      <c r="E558" s="3">
        <v>4200</v>
      </c>
      <c r="F558">
        <v>1357</v>
      </c>
      <c r="G558">
        <v>447</v>
      </c>
      <c r="H558">
        <v>93</v>
      </c>
      <c r="I558" t="s">
        <v>938</v>
      </c>
      <c r="J558">
        <v>4</v>
      </c>
      <c r="K558" t="s">
        <v>952</v>
      </c>
    </row>
    <row r="559" spans="1:11" x14ac:dyDescent="0.25">
      <c r="A559" t="s">
        <v>465</v>
      </c>
      <c r="B559" t="s">
        <v>935</v>
      </c>
      <c r="C559" s="3">
        <v>5000</v>
      </c>
      <c r="D559" s="3">
        <v>1603</v>
      </c>
      <c r="E559" s="3">
        <v>7789</v>
      </c>
      <c r="F559">
        <v>2569</v>
      </c>
      <c r="G559">
        <v>828</v>
      </c>
      <c r="H559">
        <v>53</v>
      </c>
      <c r="I559" t="s">
        <v>940</v>
      </c>
      <c r="J559">
        <v>1</v>
      </c>
      <c r="K559" t="s">
        <v>953</v>
      </c>
    </row>
    <row r="560" spans="1:11" x14ac:dyDescent="0.25">
      <c r="A560" t="s">
        <v>480</v>
      </c>
      <c r="B560" t="s">
        <v>936</v>
      </c>
      <c r="C560" s="3">
        <v>7210</v>
      </c>
      <c r="D560" s="3">
        <v>3111</v>
      </c>
      <c r="E560" s="3">
        <v>9548</v>
      </c>
      <c r="F560">
        <v>2933</v>
      </c>
      <c r="G560">
        <v>1166</v>
      </c>
      <c r="H560">
        <v>115</v>
      </c>
      <c r="I560" t="s">
        <v>942</v>
      </c>
      <c r="J560">
        <v>5</v>
      </c>
      <c r="K560" t="s">
        <v>950</v>
      </c>
    </row>
    <row r="561" spans="1:11" x14ac:dyDescent="0.25">
      <c r="A561" t="s">
        <v>481</v>
      </c>
      <c r="B561" t="s">
        <v>937</v>
      </c>
      <c r="C561" s="3">
        <v>2534</v>
      </c>
      <c r="D561" s="3">
        <v>-1718</v>
      </c>
      <c r="E561" s="3">
        <v>6915</v>
      </c>
      <c r="F561">
        <v>2881</v>
      </c>
      <c r="G561">
        <v>1371</v>
      </c>
      <c r="H561">
        <v>16</v>
      </c>
      <c r="I561" t="s">
        <v>941</v>
      </c>
      <c r="J561">
        <v>6</v>
      </c>
      <c r="K561" t="s">
        <v>944</v>
      </c>
    </row>
    <row r="562" spans="1:11" x14ac:dyDescent="0.25">
      <c r="A562" t="s">
        <v>482</v>
      </c>
      <c r="B562" t="s">
        <v>936</v>
      </c>
      <c r="C562" s="3">
        <v>5357</v>
      </c>
      <c r="D562" s="3">
        <v>-618</v>
      </c>
      <c r="E562" s="3">
        <v>6532</v>
      </c>
      <c r="F562">
        <v>4020</v>
      </c>
      <c r="G562">
        <v>1955</v>
      </c>
      <c r="H562">
        <v>11</v>
      </c>
      <c r="I562" t="s">
        <v>939</v>
      </c>
      <c r="J562">
        <v>3</v>
      </c>
      <c r="K562" t="s">
        <v>953</v>
      </c>
    </row>
    <row r="563" spans="1:11" x14ac:dyDescent="0.25">
      <c r="A563" t="s">
        <v>483</v>
      </c>
      <c r="B563" t="s">
        <v>934</v>
      </c>
      <c r="C563" s="3">
        <v>4412</v>
      </c>
      <c r="D563" s="3">
        <v>2146</v>
      </c>
      <c r="E563" s="3">
        <v>7658</v>
      </c>
      <c r="F563">
        <v>1503</v>
      </c>
      <c r="G563">
        <v>763</v>
      </c>
      <c r="H563">
        <v>83</v>
      </c>
      <c r="I563" t="s">
        <v>939</v>
      </c>
      <c r="J563">
        <v>10</v>
      </c>
      <c r="K563" t="s">
        <v>943</v>
      </c>
    </row>
    <row r="564" spans="1:11" x14ac:dyDescent="0.25">
      <c r="A564" t="s">
        <v>144</v>
      </c>
      <c r="B564" t="s">
        <v>937</v>
      </c>
      <c r="C564" s="3">
        <v>10066</v>
      </c>
      <c r="D564" s="3">
        <v>4505</v>
      </c>
      <c r="E564" s="3">
        <v>6841</v>
      </c>
      <c r="F564">
        <v>3704</v>
      </c>
      <c r="G564">
        <v>1857</v>
      </c>
      <c r="H564">
        <v>92</v>
      </c>
      <c r="I564" t="s">
        <v>940</v>
      </c>
      <c r="J564">
        <v>9</v>
      </c>
      <c r="K564" t="s">
        <v>945</v>
      </c>
    </row>
    <row r="565" spans="1:11" x14ac:dyDescent="0.25">
      <c r="A565" t="s">
        <v>484</v>
      </c>
      <c r="B565" t="s">
        <v>935</v>
      </c>
      <c r="C565" s="3">
        <v>3976</v>
      </c>
      <c r="D565" s="3">
        <v>2480</v>
      </c>
      <c r="E565" s="3">
        <v>7322</v>
      </c>
      <c r="F565">
        <v>955</v>
      </c>
      <c r="G565">
        <v>541</v>
      </c>
      <c r="H565">
        <v>57</v>
      </c>
      <c r="I565" t="s">
        <v>939</v>
      </c>
      <c r="J565">
        <v>2</v>
      </c>
      <c r="K565" t="s">
        <v>948</v>
      </c>
    </row>
    <row r="566" spans="1:11" x14ac:dyDescent="0.25">
      <c r="A566" t="s">
        <v>485</v>
      </c>
      <c r="B566" t="s">
        <v>937</v>
      </c>
      <c r="C566" s="3">
        <v>8492</v>
      </c>
      <c r="D566" s="3">
        <v>5675</v>
      </c>
      <c r="E566" s="3">
        <v>5346</v>
      </c>
      <c r="F566">
        <v>2024</v>
      </c>
      <c r="G566">
        <v>793</v>
      </c>
      <c r="H566">
        <v>52</v>
      </c>
      <c r="I566" t="s">
        <v>938</v>
      </c>
      <c r="J566">
        <v>1</v>
      </c>
      <c r="K566" t="s">
        <v>948</v>
      </c>
    </row>
    <row r="567" spans="1:11" x14ac:dyDescent="0.25">
      <c r="A567" t="s">
        <v>403</v>
      </c>
      <c r="B567" t="s">
        <v>934</v>
      </c>
      <c r="C567" s="3">
        <v>9850</v>
      </c>
      <c r="D567" s="3">
        <v>7221</v>
      </c>
      <c r="E567" s="3">
        <v>6099</v>
      </c>
      <c r="F567">
        <v>2286</v>
      </c>
      <c r="G567">
        <v>343</v>
      </c>
      <c r="H567">
        <v>77</v>
      </c>
      <c r="I567" t="s">
        <v>941</v>
      </c>
      <c r="J567">
        <v>10</v>
      </c>
      <c r="K567" t="s">
        <v>950</v>
      </c>
    </row>
    <row r="568" spans="1:11" x14ac:dyDescent="0.25">
      <c r="A568" t="s">
        <v>486</v>
      </c>
      <c r="B568" t="s">
        <v>937</v>
      </c>
      <c r="C568" s="3">
        <v>5556</v>
      </c>
      <c r="D568" s="3">
        <v>1768</v>
      </c>
      <c r="E568" s="3">
        <v>6636</v>
      </c>
      <c r="F568">
        <v>2881</v>
      </c>
      <c r="G568">
        <v>907</v>
      </c>
      <c r="H568">
        <v>96</v>
      </c>
      <c r="I568" t="s">
        <v>938</v>
      </c>
      <c r="J568">
        <v>7</v>
      </c>
      <c r="K568" t="s">
        <v>946</v>
      </c>
    </row>
    <row r="569" spans="1:11" x14ac:dyDescent="0.25">
      <c r="A569" t="s">
        <v>487</v>
      </c>
      <c r="B569" t="s">
        <v>935</v>
      </c>
      <c r="C569" s="3">
        <v>6173</v>
      </c>
      <c r="D569" s="3">
        <v>3597</v>
      </c>
      <c r="E569" s="3">
        <v>8952</v>
      </c>
      <c r="F569">
        <v>886</v>
      </c>
      <c r="G569">
        <v>1690</v>
      </c>
      <c r="H569">
        <v>98</v>
      </c>
      <c r="I569" t="s">
        <v>939</v>
      </c>
      <c r="J569">
        <v>4</v>
      </c>
      <c r="K569" t="s">
        <v>946</v>
      </c>
    </row>
    <row r="570" spans="1:11" x14ac:dyDescent="0.25">
      <c r="A570" t="s">
        <v>488</v>
      </c>
      <c r="B570" t="s">
        <v>934</v>
      </c>
      <c r="C570" s="3">
        <v>11698</v>
      </c>
      <c r="D570" s="3">
        <v>6613</v>
      </c>
      <c r="E570" s="3">
        <v>9022</v>
      </c>
      <c r="F570">
        <v>3414</v>
      </c>
      <c r="G570">
        <v>1671</v>
      </c>
      <c r="H570">
        <v>22</v>
      </c>
      <c r="I570" t="s">
        <v>939</v>
      </c>
      <c r="J570">
        <v>10</v>
      </c>
      <c r="K570" t="s">
        <v>950</v>
      </c>
    </row>
    <row r="571" spans="1:11" x14ac:dyDescent="0.25">
      <c r="A571" t="s">
        <v>287</v>
      </c>
      <c r="B571" t="s">
        <v>935</v>
      </c>
      <c r="C571" s="3">
        <v>7388</v>
      </c>
      <c r="D571" s="3">
        <v>2307</v>
      </c>
      <c r="E571" s="3">
        <v>4586</v>
      </c>
      <c r="F571">
        <v>4765</v>
      </c>
      <c r="G571">
        <v>316</v>
      </c>
      <c r="H571">
        <v>42</v>
      </c>
      <c r="I571" t="s">
        <v>939</v>
      </c>
      <c r="J571">
        <v>5</v>
      </c>
      <c r="K571" t="s">
        <v>952</v>
      </c>
    </row>
    <row r="572" spans="1:11" x14ac:dyDescent="0.25">
      <c r="A572" t="s">
        <v>489</v>
      </c>
      <c r="B572" t="s">
        <v>936</v>
      </c>
      <c r="C572" s="3">
        <v>8692</v>
      </c>
      <c r="D572" s="3">
        <v>6161</v>
      </c>
      <c r="E572" s="3">
        <v>5846</v>
      </c>
      <c r="F572">
        <v>1690</v>
      </c>
      <c r="G572">
        <v>841</v>
      </c>
      <c r="H572">
        <v>107</v>
      </c>
      <c r="I572" t="s">
        <v>941</v>
      </c>
      <c r="J572">
        <v>2</v>
      </c>
      <c r="K572" t="s">
        <v>943</v>
      </c>
    </row>
    <row r="573" spans="1:11" x14ac:dyDescent="0.25">
      <c r="A573" t="s">
        <v>490</v>
      </c>
      <c r="B573" t="s">
        <v>937</v>
      </c>
      <c r="C573" s="3">
        <v>10281</v>
      </c>
      <c r="D573" s="3">
        <v>6707</v>
      </c>
      <c r="E573" s="3">
        <v>9789</v>
      </c>
      <c r="F573">
        <v>2318</v>
      </c>
      <c r="G573">
        <v>1256</v>
      </c>
      <c r="H573">
        <v>90</v>
      </c>
      <c r="I573" t="s">
        <v>941</v>
      </c>
      <c r="J573">
        <v>1</v>
      </c>
      <c r="K573" t="s">
        <v>950</v>
      </c>
    </row>
    <row r="574" spans="1:11" x14ac:dyDescent="0.25">
      <c r="A574" t="s">
        <v>491</v>
      </c>
      <c r="B574" t="s">
        <v>937</v>
      </c>
      <c r="C574" s="3">
        <v>2138</v>
      </c>
      <c r="D574" s="3">
        <v>-31</v>
      </c>
      <c r="E574" s="3">
        <v>4163</v>
      </c>
      <c r="F574">
        <v>1267</v>
      </c>
      <c r="G574">
        <v>902</v>
      </c>
      <c r="H574">
        <v>66</v>
      </c>
      <c r="I574" t="s">
        <v>941</v>
      </c>
      <c r="J574">
        <v>3</v>
      </c>
      <c r="K574" t="s">
        <v>951</v>
      </c>
    </row>
    <row r="575" spans="1:11" x14ac:dyDescent="0.25">
      <c r="A575" t="s">
        <v>201</v>
      </c>
      <c r="B575" t="s">
        <v>935</v>
      </c>
      <c r="C575" s="3">
        <v>7402</v>
      </c>
      <c r="D575" s="3">
        <v>4771</v>
      </c>
      <c r="E575" s="3">
        <v>6738</v>
      </c>
      <c r="F575">
        <v>1472</v>
      </c>
      <c r="G575">
        <v>1159</v>
      </c>
      <c r="H575">
        <v>88</v>
      </c>
      <c r="I575" t="s">
        <v>940</v>
      </c>
      <c r="J575">
        <v>2</v>
      </c>
      <c r="K575" t="s">
        <v>951</v>
      </c>
    </row>
    <row r="576" spans="1:11" x14ac:dyDescent="0.25">
      <c r="A576" t="s">
        <v>492</v>
      </c>
      <c r="B576" t="s">
        <v>934</v>
      </c>
      <c r="C576" s="3">
        <v>5259</v>
      </c>
      <c r="D576" s="3">
        <v>-681</v>
      </c>
      <c r="E576" s="3">
        <v>8837</v>
      </c>
      <c r="F576">
        <v>4827</v>
      </c>
      <c r="G576">
        <v>1113</v>
      </c>
      <c r="H576">
        <v>101</v>
      </c>
      <c r="I576" t="s">
        <v>941</v>
      </c>
      <c r="J576">
        <v>8</v>
      </c>
      <c r="K576" t="s">
        <v>953</v>
      </c>
    </row>
    <row r="577" spans="1:11" x14ac:dyDescent="0.25">
      <c r="A577" t="s">
        <v>65</v>
      </c>
      <c r="B577" t="s">
        <v>934</v>
      </c>
      <c r="C577" s="3">
        <v>2784</v>
      </c>
      <c r="D577" s="3">
        <v>-3468</v>
      </c>
      <c r="E577" s="3">
        <v>5641</v>
      </c>
      <c r="F577">
        <v>4916</v>
      </c>
      <c r="G577">
        <v>1336</v>
      </c>
      <c r="H577">
        <v>60</v>
      </c>
      <c r="I577" t="s">
        <v>942</v>
      </c>
      <c r="J577">
        <v>4</v>
      </c>
      <c r="K577" t="s">
        <v>949</v>
      </c>
    </row>
    <row r="578" spans="1:11" x14ac:dyDescent="0.25">
      <c r="A578" t="s">
        <v>493</v>
      </c>
      <c r="B578" t="s">
        <v>934</v>
      </c>
      <c r="C578" s="3">
        <v>2856</v>
      </c>
      <c r="D578" s="3">
        <v>-3205</v>
      </c>
      <c r="E578" s="3">
        <v>4421</v>
      </c>
      <c r="F578">
        <v>4968</v>
      </c>
      <c r="G578">
        <v>1093</v>
      </c>
      <c r="H578">
        <v>17</v>
      </c>
      <c r="I578" t="s">
        <v>940</v>
      </c>
      <c r="J578">
        <v>2</v>
      </c>
      <c r="K578" t="s">
        <v>944</v>
      </c>
    </row>
    <row r="579" spans="1:11" x14ac:dyDescent="0.25">
      <c r="A579" t="s">
        <v>422</v>
      </c>
      <c r="B579" t="s">
        <v>936</v>
      </c>
      <c r="C579" s="3">
        <v>11740</v>
      </c>
      <c r="D579" s="3">
        <v>6900</v>
      </c>
      <c r="E579" s="3">
        <v>9698</v>
      </c>
      <c r="F579">
        <v>4189</v>
      </c>
      <c r="G579">
        <v>651</v>
      </c>
      <c r="H579">
        <v>37</v>
      </c>
      <c r="I579" t="s">
        <v>942</v>
      </c>
      <c r="J579">
        <v>10</v>
      </c>
      <c r="K579" t="s">
        <v>946</v>
      </c>
    </row>
    <row r="580" spans="1:11" x14ac:dyDescent="0.25">
      <c r="A580" t="s">
        <v>282</v>
      </c>
      <c r="B580" t="s">
        <v>935</v>
      </c>
      <c r="C580" s="3">
        <v>10419</v>
      </c>
      <c r="D580" s="3">
        <v>5591</v>
      </c>
      <c r="E580" s="3">
        <v>4923</v>
      </c>
      <c r="F580">
        <v>3167</v>
      </c>
      <c r="G580">
        <v>1661</v>
      </c>
      <c r="H580">
        <v>45</v>
      </c>
      <c r="I580" t="s">
        <v>940</v>
      </c>
      <c r="J580">
        <v>2</v>
      </c>
      <c r="K580" t="s">
        <v>951</v>
      </c>
    </row>
    <row r="581" spans="1:11" x14ac:dyDescent="0.25">
      <c r="A581" t="s">
        <v>494</v>
      </c>
      <c r="B581" t="s">
        <v>935</v>
      </c>
      <c r="C581" s="3">
        <v>11200</v>
      </c>
      <c r="D581" s="3">
        <v>5054</v>
      </c>
      <c r="E581" s="3">
        <v>9627</v>
      </c>
      <c r="F581">
        <v>4957</v>
      </c>
      <c r="G581">
        <v>1189</v>
      </c>
      <c r="H581">
        <v>96</v>
      </c>
      <c r="I581" t="s">
        <v>939</v>
      </c>
      <c r="J581">
        <v>10</v>
      </c>
      <c r="K581" t="s">
        <v>943</v>
      </c>
    </row>
    <row r="582" spans="1:11" x14ac:dyDescent="0.25">
      <c r="A582" t="s">
        <v>495</v>
      </c>
      <c r="B582" t="s">
        <v>937</v>
      </c>
      <c r="C582" s="3">
        <v>2386</v>
      </c>
      <c r="D582" s="3">
        <v>-536</v>
      </c>
      <c r="E582" s="3">
        <v>4157</v>
      </c>
      <c r="F582">
        <v>1816</v>
      </c>
      <c r="G582">
        <v>1106</v>
      </c>
      <c r="H582">
        <v>116</v>
      </c>
      <c r="I582" t="s">
        <v>940</v>
      </c>
      <c r="J582">
        <v>4</v>
      </c>
      <c r="K582" t="s">
        <v>948</v>
      </c>
    </row>
    <row r="583" spans="1:11" x14ac:dyDescent="0.25">
      <c r="A583" t="s">
        <v>496</v>
      </c>
      <c r="B583" t="s">
        <v>935</v>
      </c>
      <c r="C583" s="3">
        <v>3201</v>
      </c>
      <c r="D583" s="3">
        <v>-354</v>
      </c>
      <c r="E583" s="3">
        <v>6277</v>
      </c>
      <c r="F583">
        <v>2180</v>
      </c>
      <c r="G583">
        <v>1375</v>
      </c>
      <c r="H583">
        <v>84</v>
      </c>
      <c r="I583" t="s">
        <v>938</v>
      </c>
      <c r="J583">
        <v>7</v>
      </c>
      <c r="K583" t="s">
        <v>949</v>
      </c>
    </row>
    <row r="584" spans="1:11" x14ac:dyDescent="0.25">
      <c r="A584" t="s">
        <v>91</v>
      </c>
      <c r="B584" t="s">
        <v>935</v>
      </c>
      <c r="C584" s="3">
        <v>8335</v>
      </c>
      <c r="D584" s="3">
        <v>5756</v>
      </c>
      <c r="E584" s="3">
        <v>7637</v>
      </c>
      <c r="F584">
        <v>1848</v>
      </c>
      <c r="G584">
        <v>731</v>
      </c>
      <c r="H584">
        <v>113</v>
      </c>
      <c r="I584" t="s">
        <v>940</v>
      </c>
      <c r="J584">
        <v>7</v>
      </c>
      <c r="K584" t="s">
        <v>952</v>
      </c>
    </row>
    <row r="585" spans="1:11" x14ac:dyDescent="0.25">
      <c r="A585" t="s">
        <v>497</v>
      </c>
      <c r="B585" t="s">
        <v>935</v>
      </c>
      <c r="C585" s="3">
        <v>5446</v>
      </c>
      <c r="D585" s="3">
        <v>3739</v>
      </c>
      <c r="E585" s="3">
        <v>5755</v>
      </c>
      <c r="F585">
        <v>909</v>
      </c>
      <c r="G585">
        <v>798</v>
      </c>
      <c r="H585">
        <v>33</v>
      </c>
      <c r="I585" t="s">
        <v>941</v>
      </c>
      <c r="J585">
        <v>9</v>
      </c>
      <c r="K585" t="s">
        <v>951</v>
      </c>
    </row>
    <row r="586" spans="1:11" x14ac:dyDescent="0.25">
      <c r="A586" t="s">
        <v>498</v>
      </c>
      <c r="B586" t="s">
        <v>937</v>
      </c>
      <c r="C586" s="3">
        <v>6280</v>
      </c>
      <c r="D586" s="3">
        <v>924</v>
      </c>
      <c r="E586" s="3">
        <v>9941</v>
      </c>
      <c r="F586">
        <v>4548</v>
      </c>
      <c r="G586">
        <v>808</v>
      </c>
      <c r="H586">
        <v>16</v>
      </c>
      <c r="I586" t="s">
        <v>938</v>
      </c>
      <c r="J586">
        <v>6</v>
      </c>
      <c r="K586" t="s">
        <v>947</v>
      </c>
    </row>
    <row r="587" spans="1:11" x14ac:dyDescent="0.25">
      <c r="A587" t="s">
        <v>499</v>
      </c>
      <c r="B587" t="s">
        <v>934</v>
      </c>
      <c r="C587" s="3">
        <v>6517</v>
      </c>
      <c r="D587" s="3">
        <v>2581</v>
      </c>
      <c r="E587" s="3">
        <v>9838</v>
      </c>
      <c r="F587">
        <v>2771</v>
      </c>
      <c r="G587">
        <v>1165</v>
      </c>
      <c r="H587">
        <v>10</v>
      </c>
      <c r="I587" t="s">
        <v>939</v>
      </c>
      <c r="J587">
        <v>3</v>
      </c>
      <c r="K587" t="s">
        <v>945</v>
      </c>
    </row>
    <row r="588" spans="1:11" x14ac:dyDescent="0.25">
      <c r="A588" t="s">
        <v>190</v>
      </c>
      <c r="B588" t="s">
        <v>936</v>
      </c>
      <c r="C588" s="3">
        <v>5321</v>
      </c>
      <c r="D588" s="3">
        <v>2743</v>
      </c>
      <c r="E588" s="3">
        <v>4880</v>
      </c>
      <c r="F588">
        <v>1642</v>
      </c>
      <c r="G588">
        <v>936</v>
      </c>
      <c r="H588">
        <v>102</v>
      </c>
      <c r="I588" t="s">
        <v>939</v>
      </c>
      <c r="J588">
        <v>9</v>
      </c>
      <c r="K588" t="s">
        <v>943</v>
      </c>
    </row>
    <row r="589" spans="1:11" x14ac:dyDescent="0.25">
      <c r="A589" t="s">
        <v>500</v>
      </c>
      <c r="B589" t="s">
        <v>934</v>
      </c>
      <c r="C589" s="3">
        <v>2546</v>
      </c>
      <c r="D589" s="3">
        <v>-259</v>
      </c>
      <c r="E589" s="3">
        <v>8886</v>
      </c>
      <c r="F589">
        <v>1047</v>
      </c>
      <c r="G589">
        <v>1758</v>
      </c>
      <c r="H589">
        <v>37</v>
      </c>
      <c r="I589" t="s">
        <v>939</v>
      </c>
      <c r="J589">
        <v>7</v>
      </c>
      <c r="K589" t="s">
        <v>948</v>
      </c>
    </row>
    <row r="590" spans="1:11" x14ac:dyDescent="0.25">
      <c r="A590" t="s">
        <v>501</v>
      </c>
      <c r="B590" t="s">
        <v>937</v>
      </c>
      <c r="C590" s="3">
        <v>11679</v>
      </c>
      <c r="D590" s="3">
        <v>7086</v>
      </c>
      <c r="E590" s="3">
        <v>8379</v>
      </c>
      <c r="F590">
        <v>3829</v>
      </c>
      <c r="G590">
        <v>764</v>
      </c>
      <c r="H590">
        <v>20</v>
      </c>
      <c r="I590" t="s">
        <v>940</v>
      </c>
      <c r="J590">
        <v>6</v>
      </c>
      <c r="K590" t="s">
        <v>948</v>
      </c>
    </row>
    <row r="591" spans="1:11" x14ac:dyDescent="0.25">
      <c r="A591" t="s">
        <v>502</v>
      </c>
      <c r="B591" t="s">
        <v>937</v>
      </c>
      <c r="C591" s="3">
        <v>7072</v>
      </c>
      <c r="D591" s="3">
        <v>2216</v>
      </c>
      <c r="E591" s="3">
        <v>7260</v>
      </c>
      <c r="F591">
        <v>4351</v>
      </c>
      <c r="G591">
        <v>505</v>
      </c>
      <c r="H591">
        <v>58</v>
      </c>
      <c r="I591" t="s">
        <v>939</v>
      </c>
      <c r="J591">
        <v>7</v>
      </c>
      <c r="K591" t="s">
        <v>953</v>
      </c>
    </row>
    <row r="592" spans="1:11" x14ac:dyDescent="0.25">
      <c r="A592" t="s">
        <v>503</v>
      </c>
      <c r="B592" t="s">
        <v>934</v>
      </c>
      <c r="C592" s="3">
        <v>2774</v>
      </c>
      <c r="D592" s="3">
        <v>-2225</v>
      </c>
      <c r="E592" s="3">
        <v>6334</v>
      </c>
      <c r="F592">
        <v>4118</v>
      </c>
      <c r="G592">
        <v>881</v>
      </c>
      <c r="H592">
        <v>59</v>
      </c>
      <c r="I592" t="s">
        <v>938</v>
      </c>
      <c r="J592">
        <v>6</v>
      </c>
      <c r="K592" t="s">
        <v>952</v>
      </c>
    </row>
    <row r="593" spans="1:11" x14ac:dyDescent="0.25">
      <c r="A593" t="s">
        <v>504</v>
      </c>
      <c r="B593" t="s">
        <v>934</v>
      </c>
      <c r="C593" s="3">
        <v>4947</v>
      </c>
      <c r="D593" s="3">
        <v>2140</v>
      </c>
      <c r="E593" s="3">
        <v>7632</v>
      </c>
      <c r="F593">
        <v>1447</v>
      </c>
      <c r="G593">
        <v>1360</v>
      </c>
      <c r="H593">
        <v>83</v>
      </c>
      <c r="I593" t="s">
        <v>939</v>
      </c>
      <c r="J593">
        <v>4</v>
      </c>
      <c r="K593" t="s">
        <v>944</v>
      </c>
    </row>
    <row r="594" spans="1:11" x14ac:dyDescent="0.25">
      <c r="A594" t="s">
        <v>505</v>
      </c>
      <c r="B594" t="s">
        <v>935</v>
      </c>
      <c r="C594" s="3">
        <v>6669</v>
      </c>
      <c r="D594" s="3">
        <v>1876</v>
      </c>
      <c r="E594" s="3">
        <v>7753</v>
      </c>
      <c r="F594">
        <v>4312</v>
      </c>
      <c r="G594">
        <v>481</v>
      </c>
      <c r="H594">
        <v>55</v>
      </c>
      <c r="I594" t="s">
        <v>942</v>
      </c>
      <c r="J594">
        <v>4</v>
      </c>
      <c r="K594" t="s">
        <v>945</v>
      </c>
    </row>
    <row r="595" spans="1:11" x14ac:dyDescent="0.25">
      <c r="A595" t="s">
        <v>313</v>
      </c>
      <c r="B595" t="s">
        <v>937</v>
      </c>
      <c r="C595" s="3">
        <v>4442</v>
      </c>
      <c r="D595" s="3">
        <v>1671</v>
      </c>
      <c r="E595" s="3">
        <v>6334</v>
      </c>
      <c r="F595">
        <v>1490</v>
      </c>
      <c r="G595">
        <v>1281</v>
      </c>
      <c r="H595">
        <v>19</v>
      </c>
      <c r="I595" t="s">
        <v>941</v>
      </c>
      <c r="J595">
        <v>1</v>
      </c>
      <c r="K595" t="s">
        <v>946</v>
      </c>
    </row>
    <row r="596" spans="1:11" x14ac:dyDescent="0.25">
      <c r="A596" t="s">
        <v>506</v>
      </c>
      <c r="B596" t="s">
        <v>934</v>
      </c>
      <c r="C596" s="3">
        <v>7805</v>
      </c>
      <c r="D596" s="3">
        <v>4112</v>
      </c>
      <c r="E596" s="3">
        <v>5460</v>
      </c>
      <c r="F596">
        <v>2128</v>
      </c>
      <c r="G596">
        <v>1565</v>
      </c>
      <c r="H596">
        <v>40</v>
      </c>
      <c r="I596" t="s">
        <v>941</v>
      </c>
      <c r="J596">
        <v>1</v>
      </c>
      <c r="K596" t="s">
        <v>951</v>
      </c>
    </row>
    <row r="597" spans="1:11" x14ac:dyDescent="0.25">
      <c r="A597" t="s">
        <v>466</v>
      </c>
      <c r="B597" t="s">
        <v>937</v>
      </c>
      <c r="C597" s="3">
        <v>3598</v>
      </c>
      <c r="D597" s="3">
        <v>-2284</v>
      </c>
      <c r="E597" s="3">
        <v>6883</v>
      </c>
      <c r="F597">
        <v>4365</v>
      </c>
      <c r="G597">
        <v>1517</v>
      </c>
      <c r="H597">
        <v>120</v>
      </c>
      <c r="I597" t="s">
        <v>940</v>
      </c>
      <c r="J597">
        <v>2</v>
      </c>
      <c r="K597" t="s">
        <v>948</v>
      </c>
    </row>
    <row r="598" spans="1:11" x14ac:dyDescent="0.25">
      <c r="A598" t="s">
        <v>482</v>
      </c>
      <c r="B598" t="s">
        <v>937</v>
      </c>
      <c r="C598" s="3">
        <v>4845</v>
      </c>
      <c r="D598" s="3">
        <v>964</v>
      </c>
      <c r="E598" s="3">
        <v>9259</v>
      </c>
      <c r="F598">
        <v>3094</v>
      </c>
      <c r="G598">
        <v>787</v>
      </c>
      <c r="H598">
        <v>23</v>
      </c>
      <c r="I598" t="s">
        <v>942</v>
      </c>
      <c r="J598">
        <v>8</v>
      </c>
      <c r="K598" t="s">
        <v>953</v>
      </c>
    </row>
    <row r="599" spans="1:11" x14ac:dyDescent="0.25">
      <c r="A599" t="s">
        <v>507</v>
      </c>
      <c r="B599" t="s">
        <v>937</v>
      </c>
      <c r="C599" s="3">
        <v>11103</v>
      </c>
      <c r="D599" s="3">
        <v>5778</v>
      </c>
      <c r="E599" s="3">
        <v>9234</v>
      </c>
      <c r="F599">
        <v>4310</v>
      </c>
      <c r="G599">
        <v>1015</v>
      </c>
      <c r="H599">
        <v>49</v>
      </c>
      <c r="I599" t="s">
        <v>938</v>
      </c>
      <c r="J599">
        <v>4</v>
      </c>
      <c r="K599" t="s">
        <v>952</v>
      </c>
    </row>
    <row r="600" spans="1:11" x14ac:dyDescent="0.25">
      <c r="A600" t="s">
        <v>508</v>
      </c>
      <c r="B600" t="s">
        <v>934</v>
      </c>
      <c r="C600" s="3">
        <v>11489</v>
      </c>
      <c r="D600" s="3">
        <v>6714</v>
      </c>
      <c r="E600" s="3">
        <v>9727</v>
      </c>
      <c r="F600">
        <v>3281</v>
      </c>
      <c r="G600">
        <v>1494</v>
      </c>
      <c r="H600">
        <v>43</v>
      </c>
      <c r="I600" t="s">
        <v>939</v>
      </c>
      <c r="J600">
        <v>7</v>
      </c>
      <c r="K600" t="s">
        <v>944</v>
      </c>
    </row>
    <row r="601" spans="1:11" x14ac:dyDescent="0.25">
      <c r="A601" t="s">
        <v>308</v>
      </c>
      <c r="B601" t="s">
        <v>935</v>
      </c>
      <c r="C601" s="3">
        <v>8218</v>
      </c>
      <c r="D601" s="3">
        <v>3738</v>
      </c>
      <c r="E601" s="3">
        <v>8267</v>
      </c>
      <c r="F601">
        <v>4145</v>
      </c>
      <c r="G601">
        <v>335</v>
      </c>
      <c r="H601">
        <v>24</v>
      </c>
      <c r="I601" t="s">
        <v>941</v>
      </c>
      <c r="J601">
        <v>1</v>
      </c>
      <c r="K601" t="s">
        <v>952</v>
      </c>
    </row>
    <row r="602" spans="1:11" x14ac:dyDescent="0.25">
      <c r="A602" t="s">
        <v>509</v>
      </c>
      <c r="B602" t="s">
        <v>935</v>
      </c>
      <c r="C602" s="3">
        <v>7895</v>
      </c>
      <c r="D602" s="3">
        <v>4544</v>
      </c>
      <c r="E602" s="3">
        <v>6866</v>
      </c>
      <c r="F602">
        <v>1639</v>
      </c>
      <c r="G602">
        <v>1712</v>
      </c>
      <c r="H602">
        <v>30</v>
      </c>
      <c r="I602" t="s">
        <v>941</v>
      </c>
      <c r="J602">
        <v>5</v>
      </c>
      <c r="K602" t="s">
        <v>947</v>
      </c>
    </row>
    <row r="603" spans="1:11" x14ac:dyDescent="0.25">
      <c r="A603" t="s">
        <v>510</v>
      </c>
      <c r="B603" t="s">
        <v>936</v>
      </c>
      <c r="C603" s="3">
        <v>7740</v>
      </c>
      <c r="D603" s="3">
        <v>3361</v>
      </c>
      <c r="E603" s="3">
        <v>5638</v>
      </c>
      <c r="F603">
        <v>3869</v>
      </c>
      <c r="G603">
        <v>510</v>
      </c>
      <c r="H603">
        <v>109</v>
      </c>
      <c r="I603" t="s">
        <v>939</v>
      </c>
      <c r="J603">
        <v>8</v>
      </c>
      <c r="K603" t="s">
        <v>946</v>
      </c>
    </row>
    <row r="604" spans="1:11" x14ac:dyDescent="0.25">
      <c r="A604" t="s">
        <v>511</v>
      </c>
      <c r="B604" t="s">
        <v>936</v>
      </c>
      <c r="C604" s="3">
        <v>5372</v>
      </c>
      <c r="D604" s="3">
        <v>-355</v>
      </c>
      <c r="E604" s="3">
        <v>7311</v>
      </c>
      <c r="F604">
        <v>4765</v>
      </c>
      <c r="G604">
        <v>962</v>
      </c>
      <c r="H604">
        <v>23</v>
      </c>
      <c r="I604" t="s">
        <v>938</v>
      </c>
      <c r="J604">
        <v>5</v>
      </c>
      <c r="K604" t="s">
        <v>950</v>
      </c>
    </row>
    <row r="605" spans="1:11" x14ac:dyDescent="0.25">
      <c r="A605" t="s">
        <v>144</v>
      </c>
      <c r="B605" t="s">
        <v>934</v>
      </c>
      <c r="C605" s="3">
        <v>11329</v>
      </c>
      <c r="D605" s="3">
        <v>7300</v>
      </c>
      <c r="E605" s="3">
        <v>4909</v>
      </c>
      <c r="F605">
        <v>3275</v>
      </c>
      <c r="G605">
        <v>754</v>
      </c>
      <c r="H605">
        <v>45</v>
      </c>
      <c r="I605" t="s">
        <v>941</v>
      </c>
      <c r="J605">
        <v>9</v>
      </c>
      <c r="K605" t="s">
        <v>945</v>
      </c>
    </row>
    <row r="606" spans="1:11" x14ac:dyDescent="0.25">
      <c r="A606" t="s">
        <v>512</v>
      </c>
      <c r="B606" t="s">
        <v>935</v>
      </c>
      <c r="C606" s="3">
        <v>6303</v>
      </c>
      <c r="D606" s="3">
        <v>2259</v>
      </c>
      <c r="E606" s="3">
        <v>7616</v>
      </c>
      <c r="F606">
        <v>3797</v>
      </c>
      <c r="G606">
        <v>247</v>
      </c>
      <c r="H606">
        <v>111</v>
      </c>
      <c r="I606" t="s">
        <v>938</v>
      </c>
      <c r="J606">
        <v>1</v>
      </c>
      <c r="K606" t="s">
        <v>943</v>
      </c>
    </row>
    <row r="607" spans="1:11" x14ac:dyDescent="0.25">
      <c r="A607" t="s">
        <v>513</v>
      </c>
      <c r="B607" t="s">
        <v>934</v>
      </c>
      <c r="C607" s="3">
        <v>11671</v>
      </c>
      <c r="D607" s="3">
        <v>6287</v>
      </c>
      <c r="E607" s="3">
        <v>7793</v>
      </c>
      <c r="F607">
        <v>3546</v>
      </c>
      <c r="G607">
        <v>1838</v>
      </c>
      <c r="H607">
        <v>24</v>
      </c>
      <c r="I607" t="s">
        <v>941</v>
      </c>
      <c r="J607">
        <v>7</v>
      </c>
      <c r="K607" t="s">
        <v>951</v>
      </c>
    </row>
    <row r="608" spans="1:11" x14ac:dyDescent="0.25">
      <c r="A608" t="s">
        <v>514</v>
      </c>
      <c r="B608" t="s">
        <v>937</v>
      </c>
      <c r="C608" s="3">
        <v>7262</v>
      </c>
      <c r="D608" s="3">
        <v>4354</v>
      </c>
      <c r="E608" s="3">
        <v>8775</v>
      </c>
      <c r="F608">
        <v>2377</v>
      </c>
      <c r="G608">
        <v>531</v>
      </c>
      <c r="H608">
        <v>36</v>
      </c>
      <c r="I608" t="s">
        <v>942</v>
      </c>
      <c r="J608">
        <v>4</v>
      </c>
      <c r="K608" t="s">
        <v>951</v>
      </c>
    </row>
    <row r="609" spans="1:11" x14ac:dyDescent="0.25">
      <c r="A609" t="s">
        <v>515</v>
      </c>
      <c r="B609" t="s">
        <v>937</v>
      </c>
      <c r="C609" s="3">
        <v>11323</v>
      </c>
      <c r="D609" s="3">
        <v>8350</v>
      </c>
      <c r="E609" s="3">
        <v>4785</v>
      </c>
      <c r="F609">
        <v>2502</v>
      </c>
      <c r="G609">
        <v>471</v>
      </c>
      <c r="H609">
        <v>64</v>
      </c>
      <c r="I609" t="s">
        <v>941</v>
      </c>
      <c r="J609">
        <v>10</v>
      </c>
      <c r="K609" t="s">
        <v>951</v>
      </c>
    </row>
    <row r="610" spans="1:11" x14ac:dyDescent="0.25">
      <c r="A610" t="s">
        <v>516</v>
      </c>
      <c r="B610" t="s">
        <v>936</v>
      </c>
      <c r="C610" s="3">
        <v>6829</v>
      </c>
      <c r="D610" s="3">
        <v>2233</v>
      </c>
      <c r="E610" s="3">
        <v>4438</v>
      </c>
      <c r="F610">
        <v>2644</v>
      </c>
      <c r="G610">
        <v>1952</v>
      </c>
      <c r="H610">
        <v>91</v>
      </c>
      <c r="I610" t="s">
        <v>942</v>
      </c>
      <c r="J610">
        <v>6</v>
      </c>
      <c r="K610" t="s">
        <v>949</v>
      </c>
    </row>
    <row r="611" spans="1:11" x14ac:dyDescent="0.25">
      <c r="A611" t="s">
        <v>517</v>
      </c>
      <c r="B611" t="s">
        <v>937</v>
      </c>
      <c r="C611" s="3">
        <v>9311</v>
      </c>
      <c r="D611" s="3">
        <v>6455</v>
      </c>
      <c r="E611" s="3">
        <v>4432</v>
      </c>
      <c r="F611">
        <v>1940</v>
      </c>
      <c r="G611">
        <v>916</v>
      </c>
      <c r="H611">
        <v>114</v>
      </c>
      <c r="I611" t="s">
        <v>942</v>
      </c>
      <c r="J611">
        <v>4</v>
      </c>
      <c r="K611" t="s">
        <v>950</v>
      </c>
    </row>
    <row r="612" spans="1:11" x14ac:dyDescent="0.25">
      <c r="A612" t="s">
        <v>510</v>
      </c>
      <c r="B612" t="s">
        <v>934</v>
      </c>
      <c r="C612" s="3">
        <v>3256</v>
      </c>
      <c r="D612" s="3">
        <v>-668</v>
      </c>
      <c r="E612" s="3">
        <v>6474</v>
      </c>
      <c r="F612">
        <v>2700</v>
      </c>
      <c r="G612">
        <v>1224</v>
      </c>
      <c r="H612">
        <v>104</v>
      </c>
      <c r="I612" t="s">
        <v>939</v>
      </c>
      <c r="J612">
        <v>9</v>
      </c>
      <c r="K612" t="s">
        <v>946</v>
      </c>
    </row>
    <row r="613" spans="1:11" x14ac:dyDescent="0.25">
      <c r="A613" t="s">
        <v>518</v>
      </c>
      <c r="B613" t="s">
        <v>935</v>
      </c>
      <c r="C613" s="3">
        <v>3056</v>
      </c>
      <c r="D613" s="3">
        <v>-1394</v>
      </c>
      <c r="E613" s="3">
        <v>7252</v>
      </c>
      <c r="F613">
        <v>4186</v>
      </c>
      <c r="G613">
        <v>264</v>
      </c>
      <c r="H613">
        <v>12</v>
      </c>
      <c r="I613" t="s">
        <v>939</v>
      </c>
      <c r="J613">
        <v>10</v>
      </c>
      <c r="K613" t="s">
        <v>945</v>
      </c>
    </row>
    <row r="614" spans="1:11" x14ac:dyDescent="0.25">
      <c r="A614" t="s">
        <v>519</v>
      </c>
      <c r="B614" t="s">
        <v>937</v>
      </c>
      <c r="C614" s="3">
        <v>9471</v>
      </c>
      <c r="D614" s="3">
        <v>6508</v>
      </c>
      <c r="E614" s="3">
        <v>5289</v>
      </c>
      <c r="F614">
        <v>2153</v>
      </c>
      <c r="G614">
        <v>810</v>
      </c>
      <c r="H614">
        <v>17</v>
      </c>
      <c r="I614" t="s">
        <v>942</v>
      </c>
      <c r="J614">
        <v>7</v>
      </c>
      <c r="K614" t="s">
        <v>954</v>
      </c>
    </row>
    <row r="615" spans="1:11" x14ac:dyDescent="0.25">
      <c r="A615" t="s">
        <v>520</v>
      </c>
      <c r="B615" t="s">
        <v>935</v>
      </c>
      <c r="C615" s="3">
        <v>5554</v>
      </c>
      <c r="D615" s="3">
        <v>-660</v>
      </c>
      <c r="E615" s="3">
        <v>7606</v>
      </c>
      <c r="F615">
        <v>4661</v>
      </c>
      <c r="G615">
        <v>1553</v>
      </c>
      <c r="H615">
        <v>51</v>
      </c>
      <c r="I615" t="s">
        <v>942</v>
      </c>
      <c r="J615">
        <v>3</v>
      </c>
      <c r="K615" t="s">
        <v>946</v>
      </c>
    </row>
    <row r="616" spans="1:11" x14ac:dyDescent="0.25">
      <c r="A616" t="s">
        <v>310</v>
      </c>
      <c r="B616" t="s">
        <v>937</v>
      </c>
      <c r="C616" s="3">
        <v>8258</v>
      </c>
      <c r="D616" s="3">
        <v>4328</v>
      </c>
      <c r="E616" s="3">
        <v>6504</v>
      </c>
      <c r="F616">
        <v>3717</v>
      </c>
      <c r="G616">
        <v>213</v>
      </c>
      <c r="H616">
        <v>49</v>
      </c>
      <c r="I616" t="s">
        <v>940</v>
      </c>
      <c r="J616">
        <v>7</v>
      </c>
      <c r="K616" t="s">
        <v>949</v>
      </c>
    </row>
    <row r="617" spans="1:11" x14ac:dyDescent="0.25">
      <c r="A617" t="s">
        <v>521</v>
      </c>
      <c r="B617" t="s">
        <v>936</v>
      </c>
      <c r="C617" s="3">
        <v>6019</v>
      </c>
      <c r="D617" s="3">
        <v>3897</v>
      </c>
      <c r="E617" s="3">
        <v>9315</v>
      </c>
      <c r="F617">
        <v>1357</v>
      </c>
      <c r="G617">
        <v>765</v>
      </c>
      <c r="H617">
        <v>59</v>
      </c>
      <c r="I617" t="s">
        <v>941</v>
      </c>
      <c r="J617">
        <v>7</v>
      </c>
      <c r="K617" t="s">
        <v>945</v>
      </c>
    </row>
    <row r="618" spans="1:11" x14ac:dyDescent="0.25">
      <c r="A618" t="s">
        <v>522</v>
      </c>
      <c r="B618" t="s">
        <v>934</v>
      </c>
      <c r="C618" s="3">
        <v>8734</v>
      </c>
      <c r="D618" s="3">
        <v>4719</v>
      </c>
      <c r="E618" s="3">
        <v>8142</v>
      </c>
      <c r="F618">
        <v>2556</v>
      </c>
      <c r="G618">
        <v>1459</v>
      </c>
      <c r="H618">
        <v>32</v>
      </c>
      <c r="I618" t="s">
        <v>940</v>
      </c>
      <c r="J618">
        <v>5</v>
      </c>
      <c r="K618" t="s">
        <v>949</v>
      </c>
    </row>
    <row r="619" spans="1:11" x14ac:dyDescent="0.25">
      <c r="A619" t="s">
        <v>183</v>
      </c>
      <c r="B619" t="s">
        <v>936</v>
      </c>
      <c r="C619" s="3">
        <v>4245</v>
      </c>
      <c r="D619" s="3">
        <v>-1072</v>
      </c>
      <c r="E619" s="3">
        <v>4380</v>
      </c>
      <c r="F619">
        <v>4441</v>
      </c>
      <c r="G619">
        <v>876</v>
      </c>
      <c r="H619">
        <v>79</v>
      </c>
      <c r="I619" t="s">
        <v>938</v>
      </c>
      <c r="J619">
        <v>3</v>
      </c>
      <c r="K619" t="s">
        <v>952</v>
      </c>
    </row>
    <row r="620" spans="1:11" x14ac:dyDescent="0.25">
      <c r="A620" t="s">
        <v>523</v>
      </c>
      <c r="B620" t="s">
        <v>936</v>
      </c>
      <c r="C620" s="3">
        <v>7630</v>
      </c>
      <c r="D620" s="3">
        <v>3576</v>
      </c>
      <c r="E620" s="3">
        <v>6737</v>
      </c>
      <c r="F620">
        <v>3839</v>
      </c>
      <c r="G620">
        <v>215</v>
      </c>
      <c r="H620">
        <v>74</v>
      </c>
      <c r="I620" t="s">
        <v>938</v>
      </c>
      <c r="J620">
        <v>6</v>
      </c>
      <c r="K620" t="s">
        <v>953</v>
      </c>
    </row>
    <row r="621" spans="1:11" x14ac:dyDescent="0.25">
      <c r="A621" t="s">
        <v>524</v>
      </c>
      <c r="B621" t="s">
        <v>937</v>
      </c>
      <c r="C621" s="3">
        <v>7348</v>
      </c>
      <c r="D621" s="3">
        <v>5336</v>
      </c>
      <c r="E621" s="3">
        <v>8632</v>
      </c>
      <c r="F621">
        <v>1209</v>
      </c>
      <c r="G621">
        <v>803</v>
      </c>
      <c r="H621">
        <v>72</v>
      </c>
      <c r="I621" t="s">
        <v>940</v>
      </c>
      <c r="J621">
        <v>2</v>
      </c>
      <c r="K621" t="s">
        <v>945</v>
      </c>
    </row>
    <row r="622" spans="1:11" x14ac:dyDescent="0.25">
      <c r="A622" t="s">
        <v>525</v>
      </c>
      <c r="B622" t="s">
        <v>935</v>
      </c>
      <c r="C622" s="3">
        <v>3879</v>
      </c>
      <c r="D622" s="3">
        <v>-612</v>
      </c>
      <c r="E622" s="3">
        <v>6371</v>
      </c>
      <c r="F622">
        <v>2641</v>
      </c>
      <c r="G622">
        <v>1850</v>
      </c>
      <c r="H622">
        <v>56</v>
      </c>
      <c r="I622" t="s">
        <v>942</v>
      </c>
      <c r="J622">
        <v>6</v>
      </c>
      <c r="K622" t="s">
        <v>950</v>
      </c>
    </row>
    <row r="623" spans="1:11" x14ac:dyDescent="0.25">
      <c r="A623" t="s">
        <v>526</v>
      </c>
      <c r="B623" t="s">
        <v>936</v>
      </c>
      <c r="C623" s="3">
        <v>10920</v>
      </c>
      <c r="D623" s="3">
        <v>4678</v>
      </c>
      <c r="E623" s="3">
        <v>5660</v>
      </c>
      <c r="F623">
        <v>4293</v>
      </c>
      <c r="G623">
        <v>1949</v>
      </c>
      <c r="H623">
        <v>65</v>
      </c>
      <c r="I623" t="s">
        <v>941</v>
      </c>
      <c r="J623">
        <v>4</v>
      </c>
      <c r="K623" t="s">
        <v>945</v>
      </c>
    </row>
    <row r="624" spans="1:11" x14ac:dyDescent="0.25">
      <c r="A624" t="s">
        <v>527</v>
      </c>
      <c r="B624" t="s">
        <v>936</v>
      </c>
      <c r="C624" s="3">
        <v>8567</v>
      </c>
      <c r="D624" s="3">
        <v>6024</v>
      </c>
      <c r="E624" s="3">
        <v>8300</v>
      </c>
      <c r="F624">
        <v>1182</v>
      </c>
      <c r="G624">
        <v>1361</v>
      </c>
      <c r="H624">
        <v>52</v>
      </c>
      <c r="I624" t="s">
        <v>941</v>
      </c>
      <c r="J624">
        <v>2</v>
      </c>
      <c r="K624" t="s">
        <v>944</v>
      </c>
    </row>
    <row r="625" spans="1:11" x14ac:dyDescent="0.25">
      <c r="A625" t="s">
        <v>528</v>
      </c>
      <c r="B625" t="s">
        <v>934</v>
      </c>
      <c r="C625" s="3">
        <v>2459</v>
      </c>
      <c r="D625" s="3">
        <v>-3132</v>
      </c>
      <c r="E625" s="3">
        <v>6610</v>
      </c>
      <c r="F625">
        <v>4504</v>
      </c>
      <c r="G625">
        <v>1087</v>
      </c>
      <c r="H625">
        <v>12</v>
      </c>
      <c r="I625" t="s">
        <v>941</v>
      </c>
      <c r="J625">
        <v>10</v>
      </c>
      <c r="K625" t="s">
        <v>952</v>
      </c>
    </row>
    <row r="626" spans="1:11" x14ac:dyDescent="0.25">
      <c r="A626" t="s">
        <v>243</v>
      </c>
      <c r="B626" t="s">
        <v>936</v>
      </c>
      <c r="C626" s="3">
        <v>2181</v>
      </c>
      <c r="D626" s="3">
        <v>-781</v>
      </c>
      <c r="E626" s="3">
        <v>4135</v>
      </c>
      <c r="F626">
        <v>1470</v>
      </c>
      <c r="G626">
        <v>1492</v>
      </c>
      <c r="H626">
        <v>61</v>
      </c>
      <c r="I626" t="s">
        <v>941</v>
      </c>
      <c r="J626">
        <v>9</v>
      </c>
      <c r="K626" t="s">
        <v>951</v>
      </c>
    </row>
    <row r="627" spans="1:11" x14ac:dyDescent="0.25">
      <c r="A627" t="s">
        <v>529</v>
      </c>
      <c r="B627" t="s">
        <v>935</v>
      </c>
      <c r="C627" s="3">
        <v>11029</v>
      </c>
      <c r="D627" s="3">
        <v>5101</v>
      </c>
      <c r="E627" s="3">
        <v>4423</v>
      </c>
      <c r="F627">
        <v>4834</v>
      </c>
      <c r="G627">
        <v>1094</v>
      </c>
      <c r="H627">
        <v>67</v>
      </c>
      <c r="I627" t="s">
        <v>941</v>
      </c>
      <c r="J627">
        <v>5</v>
      </c>
      <c r="K627" t="s">
        <v>943</v>
      </c>
    </row>
    <row r="628" spans="1:11" x14ac:dyDescent="0.25">
      <c r="A628" t="s">
        <v>530</v>
      </c>
      <c r="B628" t="s">
        <v>937</v>
      </c>
      <c r="C628" s="3">
        <v>2972</v>
      </c>
      <c r="D628" s="3">
        <v>151</v>
      </c>
      <c r="E628" s="3">
        <v>6046</v>
      </c>
      <c r="F628">
        <v>1262</v>
      </c>
      <c r="G628">
        <v>1559</v>
      </c>
      <c r="H628">
        <v>109</v>
      </c>
      <c r="I628" t="s">
        <v>942</v>
      </c>
      <c r="J628">
        <v>6</v>
      </c>
      <c r="K628" t="s">
        <v>953</v>
      </c>
    </row>
    <row r="629" spans="1:11" x14ac:dyDescent="0.25">
      <c r="A629" t="s">
        <v>531</v>
      </c>
      <c r="B629" t="s">
        <v>936</v>
      </c>
      <c r="C629" s="3">
        <v>5072</v>
      </c>
      <c r="D629" s="3">
        <v>-308</v>
      </c>
      <c r="E629" s="3">
        <v>7878</v>
      </c>
      <c r="F629">
        <v>4051</v>
      </c>
      <c r="G629">
        <v>1329</v>
      </c>
      <c r="H629">
        <v>12</v>
      </c>
      <c r="I629" t="s">
        <v>940</v>
      </c>
      <c r="J629">
        <v>8</v>
      </c>
      <c r="K629" t="s">
        <v>944</v>
      </c>
    </row>
    <row r="630" spans="1:11" x14ac:dyDescent="0.25">
      <c r="A630" t="s">
        <v>403</v>
      </c>
      <c r="B630" t="s">
        <v>935</v>
      </c>
      <c r="C630" s="3">
        <v>10432</v>
      </c>
      <c r="D630" s="3">
        <v>5359</v>
      </c>
      <c r="E630" s="3">
        <v>6241</v>
      </c>
      <c r="F630">
        <v>4161</v>
      </c>
      <c r="G630">
        <v>912</v>
      </c>
      <c r="H630">
        <v>51</v>
      </c>
      <c r="I630" t="s">
        <v>940</v>
      </c>
      <c r="J630">
        <v>3</v>
      </c>
      <c r="K630" t="s">
        <v>950</v>
      </c>
    </row>
    <row r="631" spans="1:11" x14ac:dyDescent="0.25">
      <c r="A631" t="s">
        <v>212</v>
      </c>
      <c r="B631" t="s">
        <v>934</v>
      </c>
      <c r="C631" s="3">
        <v>3892</v>
      </c>
      <c r="D631" s="3">
        <v>756</v>
      </c>
      <c r="E631" s="3">
        <v>7834</v>
      </c>
      <c r="F631">
        <v>2148</v>
      </c>
      <c r="G631">
        <v>988</v>
      </c>
      <c r="H631">
        <v>66</v>
      </c>
      <c r="I631" t="s">
        <v>939</v>
      </c>
      <c r="J631">
        <v>6</v>
      </c>
      <c r="K631" t="s">
        <v>943</v>
      </c>
    </row>
    <row r="632" spans="1:11" x14ac:dyDescent="0.25">
      <c r="A632" t="s">
        <v>22</v>
      </c>
      <c r="B632" t="s">
        <v>935</v>
      </c>
      <c r="C632" s="3">
        <v>3991</v>
      </c>
      <c r="D632" s="3">
        <v>-501</v>
      </c>
      <c r="E632" s="3">
        <v>9832</v>
      </c>
      <c r="F632">
        <v>3305</v>
      </c>
      <c r="G632">
        <v>1187</v>
      </c>
      <c r="H632">
        <v>47</v>
      </c>
      <c r="I632" t="s">
        <v>938</v>
      </c>
      <c r="J632">
        <v>3</v>
      </c>
      <c r="K632" t="s">
        <v>943</v>
      </c>
    </row>
    <row r="633" spans="1:11" x14ac:dyDescent="0.25">
      <c r="A633" t="s">
        <v>532</v>
      </c>
      <c r="B633" t="s">
        <v>936</v>
      </c>
      <c r="C633" s="3">
        <v>3936</v>
      </c>
      <c r="D633" s="3">
        <v>273</v>
      </c>
      <c r="E633" s="3">
        <v>7355</v>
      </c>
      <c r="F633">
        <v>2933</v>
      </c>
      <c r="G633">
        <v>730</v>
      </c>
      <c r="H633">
        <v>103</v>
      </c>
      <c r="I633" t="s">
        <v>942</v>
      </c>
      <c r="J633">
        <v>5</v>
      </c>
      <c r="K633" t="s">
        <v>943</v>
      </c>
    </row>
    <row r="634" spans="1:11" x14ac:dyDescent="0.25">
      <c r="A634" t="s">
        <v>399</v>
      </c>
      <c r="B634" t="s">
        <v>935</v>
      </c>
      <c r="C634" s="3">
        <v>11092</v>
      </c>
      <c r="D634" s="3">
        <v>5345</v>
      </c>
      <c r="E634" s="3">
        <v>9706</v>
      </c>
      <c r="F634">
        <v>4608</v>
      </c>
      <c r="G634">
        <v>1139</v>
      </c>
      <c r="H634">
        <v>25</v>
      </c>
      <c r="I634" t="s">
        <v>940</v>
      </c>
      <c r="J634">
        <v>5</v>
      </c>
      <c r="K634" t="s">
        <v>953</v>
      </c>
    </row>
    <row r="635" spans="1:11" x14ac:dyDescent="0.25">
      <c r="A635" t="s">
        <v>21</v>
      </c>
      <c r="B635" t="s">
        <v>934</v>
      </c>
      <c r="C635" s="3">
        <v>7375</v>
      </c>
      <c r="D635" s="3">
        <v>3116</v>
      </c>
      <c r="E635" s="3">
        <v>4780</v>
      </c>
      <c r="F635">
        <v>3205</v>
      </c>
      <c r="G635">
        <v>1054</v>
      </c>
      <c r="H635">
        <v>98</v>
      </c>
      <c r="I635" t="s">
        <v>941</v>
      </c>
      <c r="J635">
        <v>1</v>
      </c>
      <c r="K635" t="s">
        <v>951</v>
      </c>
    </row>
    <row r="636" spans="1:11" x14ac:dyDescent="0.25">
      <c r="A636" t="s">
        <v>11</v>
      </c>
      <c r="B636" t="s">
        <v>935</v>
      </c>
      <c r="C636" s="3">
        <v>10210</v>
      </c>
      <c r="D636" s="3">
        <v>6748</v>
      </c>
      <c r="E636" s="3">
        <v>8736</v>
      </c>
      <c r="F636">
        <v>2620</v>
      </c>
      <c r="G636">
        <v>842</v>
      </c>
      <c r="H636">
        <v>38</v>
      </c>
      <c r="I636" t="s">
        <v>939</v>
      </c>
      <c r="J636">
        <v>5</v>
      </c>
      <c r="K636" t="s">
        <v>944</v>
      </c>
    </row>
    <row r="637" spans="1:11" x14ac:dyDescent="0.25">
      <c r="A637" t="s">
        <v>533</v>
      </c>
      <c r="B637" t="s">
        <v>937</v>
      </c>
      <c r="C637" s="3">
        <v>9890</v>
      </c>
      <c r="D637" s="3">
        <v>6102</v>
      </c>
      <c r="E637" s="3">
        <v>4024</v>
      </c>
      <c r="F637">
        <v>2049</v>
      </c>
      <c r="G637">
        <v>1739</v>
      </c>
      <c r="H637">
        <v>112</v>
      </c>
      <c r="I637" t="s">
        <v>939</v>
      </c>
      <c r="J637">
        <v>1</v>
      </c>
      <c r="K637" t="s">
        <v>952</v>
      </c>
    </row>
    <row r="638" spans="1:11" x14ac:dyDescent="0.25">
      <c r="A638" t="s">
        <v>534</v>
      </c>
      <c r="B638" t="s">
        <v>937</v>
      </c>
      <c r="C638" s="3">
        <v>9398</v>
      </c>
      <c r="D638" s="3">
        <v>3817</v>
      </c>
      <c r="E638" s="3">
        <v>5790</v>
      </c>
      <c r="F638">
        <v>4760</v>
      </c>
      <c r="G638">
        <v>821</v>
      </c>
      <c r="H638">
        <v>69</v>
      </c>
      <c r="I638" t="s">
        <v>939</v>
      </c>
      <c r="J638">
        <v>1</v>
      </c>
      <c r="K638" t="s">
        <v>943</v>
      </c>
    </row>
    <row r="639" spans="1:11" x14ac:dyDescent="0.25">
      <c r="A639" t="s">
        <v>482</v>
      </c>
      <c r="B639" t="s">
        <v>934</v>
      </c>
      <c r="C639" s="3">
        <v>7231</v>
      </c>
      <c r="D639" s="3">
        <v>3236</v>
      </c>
      <c r="E639" s="3">
        <v>7822</v>
      </c>
      <c r="F639">
        <v>2960</v>
      </c>
      <c r="G639">
        <v>1035</v>
      </c>
      <c r="H639">
        <v>80</v>
      </c>
      <c r="I639" t="s">
        <v>938</v>
      </c>
      <c r="J639">
        <v>8</v>
      </c>
      <c r="K639" t="s">
        <v>953</v>
      </c>
    </row>
    <row r="640" spans="1:11" x14ac:dyDescent="0.25">
      <c r="A640" t="s">
        <v>535</v>
      </c>
      <c r="B640" t="s">
        <v>934</v>
      </c>
      <c r="C640" s="3">
        <v>9460</v>
      </c>
      <c r="D640" s="3">
        <v>6473</v>
      </c>
      <c r="E640" s="3">
        <v>6568</v>
      </c>
      <c r="F640">
        <v>2598</v>
      </c>
      <c r="G640">
        <v>389</v>
      </c>
      <c r="H640">
        <v>52</v>
      </c>
      <c r="I640" t="s">
        <v>939</v>
      </c>
      <c r="J640">
        <v>9</v>
      </c>
      <c r="K640" t="s">
        <v>947</v>
      </c>
    </row>
    <row r="641" spans="1:11" x14ac:dyDescent="0.25">
      <c r="A641" t="s">
        <v>536</v>
      </c>
      <c r="B641" t="s">
        <v>936</v>
      </c>
      <c r="C641" s="3">
        <v>8802</v>
      </c>
      <c r="D641" s="3">
        <v>3250</v>
      </c>
      <c r="E641" s="3">
        <v>5905</v>
      </c>
      <c r="F641">
        <v>4155</v>
      </c>
      <c r="G641">
        <v>1397</v>
      </c>
      <c r="H641">
        <v>110</v>
      </c>
      <c r="I641" t="s">
        <v>939</v>
      </c>
      <c r="J641">
        <v>2</v>
      </c>
      <c r="K641" t="s">
        <v>953</v>
      </c>
    </row>
    <row r="642" spans="1:11" x14ac:dyDescent="0.25">
      <c r="A642" t="s">
        <v>537</v>
      </c>
      <c r="B642" t="s">
        <v>934</v>
      </c>
      <c r="C642" s="3">
        <v>8527</v>
      </c>
      <c r="D642" s="3">
        <v>3266</v>
      </c>
      <c r="E642" s="3">
        <v>5561</v>
      </c>
      <c r="F642">
        <v>3984</v>
      </c>
      <c r="G642">
        <v>1277</v>
      </c>
      <c r="H642">
        <v>94</v>
      </c>
      <c r="I642" t="s">
        <v>940</v>
      </c>
      <c r="J642">
        <v>1</v>
      </c>
      <c r="K642" t="s">
        <v>944</v>
      </c>
    </row>
    <row r="643" spans="1:11" x14ac:dyDescent="0.25">
      <c r="A643" t="s">
        <v>532</v>
      </c>
      <c r="B643" t="s">
        <v>935</v>
      </c>
      <c r="C643" s="3">
        <v>10407</v>
      </c>
      <c r="D643" s="3">
        <v>5438</v>
      </c>
      <c r="E643" s="3">
        <v>6566</v>
      </c>
      <c r="F643">
        <v>3548</v>
      </c>
      <c r="G643">
        <v>1421</v>
      </c>
      <c r="H643">
        <v>13</v>
      </c>
      <c r="I643" t="s">
        <v>942</v>
      </c>
      <c r="J643">
        <v>4</v>
      </c>
      <c r="K643" t="s">
        <v>943</v>
      </c>
    </row>
    <row r="644" spans="1:11" x14ac:dyDescent="0.25">
      <c r="A644" t="s">
        <v>132</v>
      </c>
      <c r="B644" t="s">
        <v>937</v>
      </c>
      <c r="C644" s="3">
        <v>7444</v>
      </c>
      <c r="D644" s="3">
        <v>4403</v>
      </c>
      <c r="E644" s="3">
        <v>8375</v>
      </c>
      <c r="F644">
        <v>2331</v>
      </c>
      <c r="G644">
        <v>710</v>
      </c>
      <c r="H644">
        <v>12</v>
      </c>
      <c r="I644" t="s">
        <v>940</v>
      </c>
      <c r="J644">
        <v>10</v>
      </c>
      <c r="K644" t="s">
        <v>953</v>
      </c>
    </row>
    <row r="645" spans="1:11" x14ac:dyDescent="0.25">
      <c r="A645" t="s">
        <v>538</v>
      </c>
      <c r="B645" t="s">
        <v>936</v>
      </c>
      <c r="C645" s="3">
        <v>10228</v>
      </c>
      <c r="D645" s="3">
        <v>5929</v>
      </c>
      <c r="E645" s="3">
        <v>7984</v>
      </c>
      <c r="F645">
        <v>3263</v>
      </c>
      <c r="G645">
        <v>1036</v>
      </c>
      <c r="H645">
        <v>46</v>
      </c>
      <c r="I645" t="s">
        <v>940</v>
      </c>
      <c r="J645">
        <v>6</v>
      </c>
      <c r="K645" t="s">
        <v>943</v>
      </c>
    </row>
    <row r="646" spans="1:11" x14ac:dyDescent="0.25">
      <c r="A646" t="s">
        <v>539</v>
      </c>
      <c r="B646" t="s">
        <v>937</v>
      </c>
      <c r="C646" s="3">
        <v>5623</v>
      </c>
      <c r="D646" s="3">
        <v>1734</v>
      </c>
      <c r="E646" s="3">
        <v>8035</v>
      </c>
      <c r="F646">
        <v>2064</v>
      </c>
      <c r="G646">
        <v>1825</v>
      </c>
      <c r="H646">
        <v>42</v>
      </c>
      <c r="I646" t="s">
        <v>942</v>
      </c>
      <c r="J646">
        <v>4</v>
      </c>
      <c r="K646" t="s">
        <v>947</v>
      </c>
    </row>
    <row r="647" spans="1:11" x14ac:dyDescent="0.25">
      <c r="A647" t="s">
        <v>41</v>
      </c>
      <c r="B647" t="s">
        <v>934</v>
      </c>
      <c r="C647" s="3">
        <v>9641</v>
      </c>
      <c r="D647" s="3">
        <v>6484</v>
      </c>
      <c r="E647" s="3">
        <v>5447</v>
      </c>
      <c r="F647">
        <v>2555</v>
      </c>
      <c r="G647">
        <v>602</v>
      </c>
      <c r="H647">
        <v>47</v>
      </c>
      <c r="I647" t="s">
        <v>939</v>
      </c>
      <c r="J647">
        <v>7</v>
      </c>
      <c r="K647" t="s">
        <v>949</v>
      </c>
    </row>
    <row r="648" spans="1:11" x14ac:dyDescent="0.25">
      <c r="A648" t="s">
        <v>295</v>
      </c>
      <c r="B648" t="s">
        <v>936</v>
      </c>
      <c r="C648" s="3">
        <v>8767</v>
      </c>
      <c r="D648" s="3">
        <v>2399</v>
      </c>
      <c r="E648" s="3">
        <v>5896</v>
      </c>
      <c r="F648">
        <v>4705</v>
      </c>
      <c r="G648">
        <v>1663</v>
      </c>
      <c r="H648">
        <v>35</v>
      </c>
      <c r="I648" t="s">
        <v>941</v>
      </c>
      <c r="J648">
        <v>7</v>
      </c>
      <c r="K648" t="s">
        <v>952</v>
      </c>
    </row>
    <row r="649" spans="1:11" x14ac:dyDescent="0.25">
      <c r="A649" t="s">
        <v>540</v>
      </c>
      <c r="B649" t="s">
        <v>934</v>
      </c>
      <c r="C649" s="3">
        <v>8093</v>
      </c>
      <c r="D649" s="3">
        <v>5201</v>
      </c>
      <c r="E649" s="3">
        <v>6534</v>
      </c>
      <c r="F649">
        <v>2625</v>
      </c>
      <c r="G649">
        <v>267</v>
      </c>
      <c r="H649">
        <v>49</v>
      </c>
      <c r="I649" t="s">
        <v>938</v>
      </c>
      <c r="J649">
        <v>6</v>
      </c>
      <c r="K649" t="s">
        <v>945</v>
      </c>
    </row>
    <row r="650" spans="1:11" x14ac:dyDescent="0.25">
      <c r="A650" t="s">
        <v>541</v>
      </c>
      <c r="B650" t="s">
        <v>935</v>
      </c>
      <c r="C650" s="3">
        <v>5253</v>
      </c>
      <c r="D650" s="3">
        <v>621</v>
      </c>
      <c r="E650" s="3">
        <v>9360</v>
      </c>
      <c r="F650">
        <v>4360</v>
      </c>
      <c r="G650">
        <v>272</v>
      </c>
      <c r="H650">
        <v>81</v>
      </c>
      <c r="I650" t="s">
        <v>942</v>
      </c>
      <c r="J650">
        <v>9</v>
      </c>
      <c r="K650" t="s">
        <v>944</v>
      </c>
    </row>
    <row r="651" spans="1:11" x14ac:dyDescent="0.25">
      <c r="A651" t="s">
        <v>542</v>
      </c>
      <c r="B651" t="s">
        <v>935</v>
      </c>
      <c r="C651" s="3">
        <v>10319</v>
      </c>
      <c r="D651" s="3">
        <v>7111</v>
      </c>
      <c r="E651" s="3">
        <v>4528</v>
      </c>
      <c r="F651">
        <v>2901</v>
      </c>
      <c r="G651">
        <v>307</v>
      </c>
      <c r="H651">
        <v>42</v>
      </c>
      <c r="I651" t="s">
        <v>940</v>
      </c>
      <c r="J651">
        <v>7</v>
      </c>
      <c r="K651" t="s">
        <v>951</v>
      </c>
    </row>
    <row r="652" spans="1:11" x14ac:dyDescent="0.25">
      <c r="A652" t="s">
        <v>532</v>
      </c>
      <c r="B652" t="s">
        <v>934</v>
      </c>
      <c r="C652" s="3">
        <v>8443</v>
      </c>
      <c r="D652" s="3">
        <v>5040</v>
      </c>
      <c r="E652" s="3">
        <v>8971</v>
      </c>
      <c r="F652">
        <v>2805</v>
      </c>
      <c r="G652">
        <v>598</v>
      </c>
      <c r="H652">
        <v>52</v>
      </c>
      <c r="I652" t="s">
        <v>942</v>
      </c>
      <c r="J652">
        <v>4</v>
      </c>
      <c r="K652" t="s">
        <v>943</v>
      </c>
    </row>
    <row r="653" spans="1:11" x14ac:dyDescent="0.25">
      <c r="A653" t="s">
        <v>543</v>
      </c>
      <c r="B653" t="s">
        <v>936</v>
      </c>
      <c r="C653" s="3">
        <v>9519</v>
      </c>
      <c r="D653" s="3">
        <v>3520</v>
      </c>
      <c r="E653" s="3">
        <v>7361</v>
      </c>
      <c r="F653">
        <v>4268</v>
      </c>
      <c r="G653">
        <v>1731</v>
      </c>
      <c r="H653">
        <v>95</v>
      </c>
      <c r="I653" t="s">
        <v>939</v>
      </c>
      <c r="J653">
        <v>4</v>
      </c>
      <c r="K653" t="s">
        <v>945</v>
      </c>
    </row>
    <row r="654" spans="1:11" x14ac:dyDescent="0.25">
      <c r="A654" t="s">
        <v>544</v>
      </c>
      <c r="B654" t="s">
        <v>936</v>
      </c>
      <c r="C654" s="3">
        <v>10315</v>
      </c>
      <c r="D654" s="3">
        <v>7644</v>
      </c>
      <c r="E654" s="3">
        <v>9623</v>
      </c>
      <c r="F654">
        <v>921</v>
      </c>
      <c r="G654">
        <v>1750</v>
      </c>
      <c r="H654">
        <v>119</v>
      </c>
      <c r="I654" t="s">
        <v>940</v>
      </c>
      <c r="J654">
        <v>3</v>
      </c>
      <c r="K654" t="s">
        <v>943</v>
      </c>
    </row>
    <row r="655" spans="1:11" x14ac:dyDescent="0.25">
      <c r="A655" t="s">
        <v>15</v>
      </c>
      <c r="B655" t="s">
        <v>934</v>
      </c>
      <c r="C655" s="3">
        <v>5622</v>
      </c>
      <c r="D655" s="3">
        <v>4061</v>
      </c>
      <c r="E655" s="3">
        <v>9131</v>
      </c>
      <c r="F655">
        <v>1298</v>
      </c>
      <c r="G655">
        <v>263</v>
      </c>
      <c r="H655">
        <v>69</v>
      </c>
      <c r="I655" t="s">
        <v>939</v>
      </c>
      <c r="J655">
        <v>9</v>
      </c>
      <c r="K655" t="s">
        <v>947</v>
      </c>
    </row>
    <row r="656" spans="1:11" x14ac:dyDescent="0.25">
      <c r="A656" t="s">
        <v>545</v>
      </c>
      <c r="B656" t="s">
        <v>936</v>
      </c>
      <c r="C656" s="3">
        <v>10649</v>
      </c>
      <c r="D656" s="3">
        <v>7440</v>
      </c>
      <c r="E656" s="3">
        <v>4039</v>
      </c>
      <c r="F656">
        <v>2874</v>
      </c>
      <c r="G656">
        <v>335</v>
      </c>
      <c r="H656">
        <v>105</v>
      </c>
      <c r="I656" t="s">
        <v>941</v>
      </c>
      <c r="J656">
        <v>9</v>
      </c>
      <c r="K656" t="s">
        <v>947</v>
      </c>
    </row>
    <row r="657" spans="1:11" x14ac:dyDescent="0.25">
      <c r="A657" t="s">
        <v>546</v>
      </c>
      <c r="B657" t="s">
        <v>937</v>
      </c>
      <c r="C657" s="3">
        <v>7227</v>
      </c>
      <c r="D657" s="3">
        <v>957</v>
      </c>
      <c r="E657" s="3">
        <v>9582</v>
      </c>
      <c r="F657">
        <v>4836</v>
      </c>
      <c r="G657">
        <v>1434</v>
      </c>
      <c r="H657">
        <v>40</v>
      </c>
      <c r="I657" t="s">
        <v>941</v>
      </c>
      <c r="J657">
        <v>10</v>
      </c>
      <c r="K657" t="s">
        <v>951</v>
      </c>
    </row>
    <row r="658" spans="1:11" x14ac:dyDescent="0.25">
      <c r="A658" t="s">
        <v>547</v>
      </c>
      <c r="B658" t="s">
        <v>937</v>
      </c>
      <c r="C658" s="3">
        <v>3601</v>
      </c>
      <c r="D658" s="3">
        <v>-545</v>
      </c>
      <c r="E658" s="3">
        <v>9387</v>
      </c>
      <c r="F658">
        <v>3008</v>
      </c>
      <c r="G658">
        <v>1138</v>
      </c>
      <c r="H658">
        <v>43</v>
      </c>
      <c r="I658" t="s">
        <v>939</v>
      </c>
      <c r="J658">
        <v>5</v>
      </c>
      <c r="K658" t="s">
        <v>952</v>
      </c>
    </row>
    <row r="659" spans="1:11" x14ac:dyDescent="0.25">
      <c r="A659" t="s">
        <v>548</v>
      </c>
      <c r="B659" t="s">
        <v>934</v>
      </c>
      <c r="C659" s="3">
        <v>2994</v>
      </c>
      <c r="D659" s="3">
        <v>-2006</v>
      </c>
      <c r="E659" s="3">
        <v>7676</v>
      </c>
      <c r="F659">
        <v>3327</v>
      </c>
      <c r="G659">
        <v>1673</v>
      </c>
      <c r="H659">
        <v>86</v>
      </c>
      <c r="I659" t="s">
        <v>938</v>
      </c>
      <c r="J659">
        <v>7</v>
      </c>
      <c r="K659" t="s">
        <v>944</v>
      </c>
    </row>
    <row r="660" spans="1:11" x14ac:dyDescent="0.25">
      <c r="A660" t="s">
        <v>549</v>
      </c>
      <c r="B660" t="s">
        <v>935</v>
      </c>
      <c r="C660" s="3">
        <v>3168</v>
      </c>
      <c r="D660" s="3">
        <v>513</v>
      </c>
      <c r="E660" s="3">
        <v>4423</v>
      </c>
      <c r="F660">
        <v>846</v>
      </c>
      <c r="G660">
        <v>1809</v>
      </c>
      <c r="H660">
        <v>113</v>
      </c>
      <c r="I660" t="s">
        <v>939</v>
      </c>
      <c r="J660">
        <v>1</v>
      </c>
      <c r="K660" t="s">
        <v>951</v>
      </c>
    </row>
    <row r="661" spans="1:11" x14ac:dyDescent="0.25">
      <c r="A661" t="s">
        <v>550</v>
      </c>
      <c r="B661" t="s">
        <v>935</v>
      </c>
      <c r="C661" s="3">
        <v>11638</v>
      </c>
      <c r="D661" s="3">
        <v>8153</v>
      </c>
      <c r="E661" s="3">
        <v>5122</v>
      </c>
      <c r="F661">
        <v>1880</v>
      </c>
      <c r="G661">
        <v>1605</v>
      </c>
      <c r="H661">
        <v>59</v>
      </c>
      <c r="I661" t="s">
        <v>938</v>
      </c>
      <c r="J661">
        <v>2</v>
      </c>
      <c r="K661" t="s">
        <v>944</v>
      </c>
    </row>
    <row r="662" spans="1:11" x14ac:dyDescent="0.25">
      <c r="A662" t="s">
        <v>551</v>
      </c>
      <c r="B662" t="s">
        <v>937</v>
      </c>
      <c r="C662" s="3">
        <v>10004</v>
      </c>
      <c r="D662" s="3">
        <v>8336</v>
      </c>
      <c r="E662" s="3">
        <v>4746</v>
      </c>
      <c r="F662">
        <v>1231</v>
      </c>
      <c r="G662">
        <v>437</v>
      </c>
      <c r="H662">
        <v>44</v>
      </c>
      <c r="I662" t="s">
        <v>940</v>
      </c>
      <c r="J662">
        <v>3</v>
      </c>
      <c r="K662" t="s">
        <v>948</v>
      </c>
    </row>
    <row r="663" spans="1:11" x14ac:dyDescent="0.25">
      <c r="A663" t="s">
        <v>552</v>
      </c>
      <c r="B663" t="s">
        <v>934</v>
      </c>
      <c r="C663" s="3">
        <v>11388</v>
      </c>
      <c r="D663" s="3">
        <v>10273</v>
      </c>
      <c r="E663" s="3">
        <v>9265</v>
      </c>
      <c r="F663">
        <v>847</v>
      </c>
      <c r="G663">
        <v>268</v>
      </c>
      <c r="H663">
        <v>28</v>
      </c>
      <c r="I663" t="s">
        <v>938</v>
      </c>
      <c r="J663">
        <v>5</v>
      </c>
      <c r="K663" t="s">
        <v>948</v>
      </c>
    </row>
    <row r="664" spans="1:11" x14ac:dyDescent="0.25">
      <c r="A664" t="s">
        <v>553</v>
      </c>
      <c r="B664" t="s">
        <v>936</v>
      </c>
      <c r="C664" s="3">
        <v>9097</v>
      </c>
      <c r="D664" s="3">
        <v>6798</v>
      </c>
      <c r="E664" s="3">
        <v>6493</v>
      </c>
      <c r="F664">
        <v>1987</v>
      </c>
      <c r="G664">
        <v>312</v>
      </c>
      <c r="H664">
        <v>105</v>
      </c>
      <c r="I664" t="s">
        <v>938</v>
      </c>
      <c r="J664">
        <v>1</v>
      </c>
      <c r="K664" t="s">
        <v>951</v>
      </c>
    </row>
    <row r="665" spans="1:11" x14ac:dyDescent="0.25">
      <c r="A665" t="s">
        <v>554</v>
      </c>
      <c r="B665" t="s">
        <v>935</v>
      </c>
      <c r="C665" s="3">
        <v>2180</v>
      </c>
      <c r="D665" s="3">
        <v>-2574</v>
      </c>
      <c r="E665" s="3">
        <v>6902</v>
      </c>
      <c r="F665">
        <v>3081</v>
      </c>
      <c r="G665">
        <v>1673</v>
      </c>
      <c r="H665">
        <v>58</v>
      </c>
      <c r="I665" t="s">
        <v>938</v>
      </c>
      <c r="J665">
        <v>7</v>
      </c>
      <c r="K665" t="s">
        <v>954</v>
      </c>
    </row>
    <row r="666" spans="1:11" x14ac:dyDescent="0.25">
      <c r="A666" t="s">
        <v>380</v>
      </c>
      <c r="B666" t="s">
        <v>934</v>
      </c>
      <c r="C666" s="3">
        <v>11568</v>
      </c>
      <c r="D666" s="3">
        <v>8375</v>
      </c>
      <c r="E666" s="3">
        <v>5692</v>
      </c>
      <c r="F666">
        <v>2850</v>
      </c>
      <c r="G666">
        <v>343</v>
      </c>
      <c r="H666">
        <v>32</v>
      </c>
      <c r="I666" t="s">
        <v>940</v>
      </c>
      <c r="J666">
        <v>9</v>
      </c>
      <c r="K666" t="s">
        <v>948</v>
      </c>
    </row>
    <row r="667" spans="1:11" x14ac:dyDescent="0.25">
      <c r="A667" t="s">
        <v>248</v>
      </c>
      <c r="B667" t="s">
        <v>934</v>
      </c>
      <c r="C667" s="3">
        <v>7912</v>
      </c>
      <c r="D667" s="3">
        <v>3275</v>
      </c>
      <c r="E667" s="3">
        <v>5340</v>
      </c>
      <c r="F667">
        <v>2899</v>
      </c>
      <c r="G667">
        <v>1738</v>
      </c>
      <c r="H667">
        <v>105</v>
      </c>
      <c r="I667" t="s">
        <v>939</v>
      </c>
      <c r="J667">
        <v>9</v>
      </c>
      <c r="K667" t="s">
        <v>949</v>
      </c>
    </row>
    <row r="668" spans="1:11" x14ac:dyDescent="0.25">
      <c r="A668" t="s">
        <v>555</v>
      </c>
      <c r="B668" t="s">
        <v>937</v>
      </c>
      <c r="C668" s="3">
        <v>2143</v>
      </c>
      <c r="D668" s="3">
        <v>218</v>
      </c>
      <c r="E668" s="3">
        <v>6865</v>
      </c>
      <c r="F668">
        <v>950</v>
      </c>
      <c r="G668">
        <v>975</v>
      </c>
      <c r="H668">
        <v>99</v>
      </c>
      <c r="I668" t="s">
        <v>941</v>
      </c>
      <c r="J668">
        <v>2</v>
      </c>
      <c r="K668" t="s">
        <v>944</v>
      </c>
    </row>
    <row r="669" spans="1:11" x14ac:dyDescent="0.25">
      <c r="A669" t="s">
        <v>556</v>
      </c>
      <c r="B669" t="s">
        <v>936</v>
      </c>
      <c r="C669" s="3">
        <v>8434</v>
      </c>
      <c r="D669" s="3">
        <v>5737</v>
      </c>
      <c r="E669" s="3">
        <v>5517</v>
      </c>
      <c r="F669">
        <v>2357</v>
      </c>
      <c r="G669">
        <v>340</v>
      </c>
      <c r="H669">
        <v>83</v>
      </c>
      <c r="I669" t="s">
        <v>940</v>
      </c>
      <c r="J669">
        <v>8</v>
      </c>
      <c r="K669" t="s">
        <v>949</v>
      </c>
    </row>
    <row r="670" spans="1:11" x14ac:dyDescent="0.25">
      <c r="A670" t="s">
        <v>557</v>
      </c>
      <c r="B670" t="s">
        <v>935</v>
      </c>
      <c r="C670" s="3">
        <v>9985</v>
      </c>
      <c r="D670" s="3">
        <v>7464</v>
      </c>
      <c r="E670" s="3">
        <v>5248</v>
      </c>
      <c r="F670">
        <v>969</v>
      </c>
      <c r="G670">
        <v>1552</v>
      </c>
      <c r="H670">
        <v>85</v>
      </c>
      <c r="I670" t="s">
        <v>939</v>
      </c>
      <c r="J670">
        <v>9</v>
      </c>
      <c r="K670" t="s">
        <v>954</v>
      </c>
    </row>
    <row r="671" spans="1:11" x14ac:dyDescent="0.25">
      <c r="A671" t="s">
        <v>138</v>
      </c>
      <c r="B671" t="s">
        <v>936</v>
      </c>
      <c r="C671" s="3">
        <v>8868</v>
      </c>
      <c r="D671" s="3">
        <v>6001</v>
      </c>
      <c r="E671" s="3">
        <v>4228</v>
      </c>
      <c r="F671">
        <v>2420</v>
      </c>
      <c r="G671">
        <v>447</v>
      </c>
      <c r="H671">
        <v>45</v>
      </c>
      <c r="I671" t="s">
        <v>938</v>
      </c>
      <c r="J671">
        <v>1</v>
      </c>
      <c r="K671" t="s">
        <v>947</v>
      </c>
    </row>
    <row r="672" spans="1:11" x14ac:dyDescent="0.25">
      <c r="A672" t="s">
        <v>558</v>
      </c>
      <c r="B672" t="s">
        <v>934</v>
      </c>
      <c r="C672" s="3">
        <v>5394</v>
      </c>
      <c r="D672" s="3">
        <v>-626</v>
      </c>
      <c r="E672" s="3">
        <v>8014</v>
      </c>
      <c r="F672">
        <v>4037</v>
      </c>
      <c r="G672">
        <v>1983</v>
      </c>
      <c r="H672">
        <v>116</v>
      </c>
      <c r="I672" t="s">
        <v>940</v>
      </c>
      <c r="J672">
        <v>7</v>
      </c>
      <c r="K672" t="s">
        <v>952</v>
      </c>
    </row>
    <row r="673" spans="1:11" x14ac:dyDescent="0.25">
      <c r="A673" t="s">
        <v>559</v>
      </c>
      <c r="B673" t="s">
        <v>934</v>
      </c>
      <c r="C673" s="3">
        <v>4558</v>
      </c>
      <c r="D673" s="3">
        <v>-1021</v>
      </c>
      <c r="E673" s="3">
        <v>6460</v>
      </c>
      <c r="F673">
        <v>3768</v>
      </c>
      <c r="G673">
        <v>1811</v>
      </c>
      <c r="H673">
        <v>63</v>
      </c>
      <c r="I673" t="s">
        <v>941</v>
      </c>
      <c r="J673">
        <v>5</v>
      </c>
      <c r="K673" t="s">
        <v>954</v>
      </c>
    </row>
    <row r="674" spans="1:11" x14ac:dyDescent="0.25">
      <c r="A674" t="s">
        <v>560</v>
      </c>
      <c r="B674" t="s">
        <v>934</v>
      </c>
      <c r="C674" s="3">
        <v>8569</v>
      </c>
      <c r="D674" s="3">
        <v>5704</v>
      </c>
      <c r="E674" s="3">
        <v>9652</v>
      </c>
      <c r="F674">
        <v>1115</v>
      </c>
      <c r="G674">
        <v>1750</v>
      </c>
      <c r="H674">
        <v>98</v>
      </c>
      <c r="I674" t="s">
        <v>941</v>
      </c>
      <c r="J674">
        <v>6</v>
      </c>
      <c r="K674" t="s">
        <v>946</v>
      </c>
    </row>
    <row r="675" spans="1:11" x14ac:dyDescent="0.25">
      <c r="A675" t="s">
        <v>264</v>
      </c>
      <c r="B675" t="s">
        <v>937</v>
      </c>
      <c r="C675" s="3">
        <v>3999</v>
      </c>
      <c r="D675" s="3">
        <v>928</v>
      </c>
      <c r="E675" s="3">
        <v>5375</v>
      </c>
      <c r="F675">
        <v>1770</v>
      </c>
      <c r="G675">
        <v>1301</v>
      </c>
      <c r="H675">
        <v>60</v>
      </c>
      <c r="I675" t="s">
        <v>939</v>
      </c>
      <c r="J675">
        <v>6</v>
      </c>
      <c r="K675" t="s">
        <v>949</v>
      </c>
    </row>
    <row r="676" spans="1:11" x14ac:dyDescent="0.25">
      <c r="A676" t="s">
        <v>561</v>
      </c>
      <c r="B676" t="s">
        <v>935</v>
      </c>
      <c r="C676" s="3">
        <v>10225</v>
      </c>
      <c r="D676" s="3">
        <v>7935</v>
      </c>
      <c r="E676" s="3">
        <v>9257</v>
      </c>
      <c r="F676">
        <v>1985</v>
      </c>
      <c r="G676">
        <v>305</v>
      </c>
      <c r="H676">
        <v>22</v>
      </c>
      <c r="I676" t="s">
        <v>941</v>
      </c>
      <c r="J676">
        <v>6</v>
      </c>
      <c r="K676" t="s">
        <v>945</v>
      </c>
    </row>
    <row r="677" spans="1:11" x14ac:dyDescent="0.25">
      <c r="A677" t="s">
        <v>556</v>
      </c>
      <c r="B677" t="s">
        <v>937</v>
      </c>
      <c r="C677" s="3">
        <v>4436</v>
      </c>
      <c r="D677" s="3">
        <v>-1091</v>
      </c>
      <c r="E677" s="3">
        <v>5488</v>
      </c>
      <c r="F677">
        <v>4699</v>
      </c>
      <c r="G677">
        <v>828</v>
      </c>
      <c r="H677">
        <v>111</v>
      </c>
      <c r="I677" t="s">
        <v>941</v>
      </c>
      <c r="J677">
        <v>9</v>
      </c>
      <c r="K677" t="s">
        <v>949</v>
      </c>
    </row>
    <row r="678" spans="1:11" x14ac:dyDescent="0.25">
      <c r="A678" t="s">
        <v>562</v>
      </c>
      <c r="B678" t="s">
        <v>934</v>
      </c>
      <c r="C678" s="3">
        <v>3219</v>
      </c>
      <c r="D678" s="3">
        <v>874</v>
      </c>
      <c r="E678" s="3">
        <v>4443</v>
      </c>
      <c r="F678">
        <v>1383</v>
      </c>
      <c r="G678">
        <v>962</v>
      </c>
      <c r="H678">
        <v>46</v>
      </c>
      <c r="I678" t="s">
        <v>942</v>
      </c>
      <c r="J678">
        <v>6</v>
      </c>
      <c r="K678" t="s">
        <v>946</v>
      </c>
    </row>
    <row r="679" spans="1:11" x14ac:dyDescent="0.25">
      <c r="A679" t="s">
        <v>61</v>
      </c>
      <c r="B679" t="s">
        <v>936</v>
      </c>
      <c r="C679" s="3">
        <v>8325</v>
      </c>
      <c r="D679" s="3">
        <v>5636</v>
      </c>
      <c r="E679" s="3">
        <v>5234</v>
      </c>
      <c r="F679">
        <v>1948</v>
      </c>
      <c r="G679">
        <v>741</v>
      </c>
      <c r="H679">
        <v>93</v>
      </c>
      <c r="I679" t="s">
        <v>942</v>
      </c>
      <c r="J679">
        <v>10</v>
      </c>
      <c r="K679" t="s">
        <v>944</v>
      </c>
    </row>
    <row r="680" spans="1:11" x14ac:dyDescent="0.25">
      <c r="A680" t="s">
        <v>440</v>
      </c>
      <c r="B680" t="s">
        <v>936</v>
      </c>
      <c r="C680" s="3">
        <v>2395</v>
      </c>
      <c r="D680" s="3">
        <v>-1025</v>
      </c>
      <c r="E680" s="3">
        <v>9458</v>
      </c>
      <c r="F680">
        <v>2223</v>
      </c>
      <c r="G680">
        <v>1197</v>
      </c>
      <c r="H680">
        <v>79</v>
      </c>
      <c r="I680" t="s">
        <v>938</v>
      </c>
      <c r="J680">
        <v>7</v>
      </c>
      <c r="K680" t="s">
        <v>944</v>
      </c>
    </row>
    <row r="681" spans="1:11" x14ac:dyDescent="0.25">
      <c r="A681" t="s">
        <v>563</v>
      </c>
      <c r="B681" t="s">
        <v>935</v>
      </c>
      <c r="C681" s="3">
        <v>10143</v>
      </c>
      <c r="D681" s="3">
        <v>3583</v>
      </c>
      <c r="E681" s="3">
        <v>9137</v>
      </c>
      <c r="F681">
        <v>4579</v>
      </c>
      <c r="G681">
        <v>1981</v>
      </c>
      <c r="H681">
        <v>68</v>
      </c>
      <c r="I681" t="s">
        <v>942</v>
      </c>
      <c r="J681">
        <v>7</v>
      </c>
      <c r="K681" t="s">
        <v>943</v>
      </c>
    </row>
    <row r="682" spans="1:11" x14ac:dyDescent="0.25">
      <c r="A682" t="s">
        <v>129</v>
      </c>
      <c r="B682" t="s">
        <v>934</v>
      </c>
      <c r="C682" s="3">
        <v>6281</v>
      </c>
      <c r="D682" s="3">
        <v>3883</v>
      </c>
      <c r="E682" s="3">
        <v>9486</v>
      </c>
      <c r="F682">
        <v>2198</v>
      </c>
      <c r="G682">
        <v>200</v>
      </c>
      <c r="H682">
        <v>16</v>
      </c>
      <c r="I682" t="s">
        <v>939</v>
      </c>
      <c r="J682">
        <v>3</v>
      </c>
      <c r="K682" t="s">
        <v>947</v>
      </c>
    </row>
    <row r="683" spans="1:11" x14ac:dyDescent="0.25">
      <c r="A683" t="s">
        <v>564</v>
      </c>
      <c r="B683" t="s">
        <v>935</v>
      </c>
      <c r="C683" s="3">
        <v>7473</v>
      </c>
      <c r="D683" s="3">
        <v>4260</v>
      </c>
      <c r="E683" s="3">
        <v>8541</v>
      </c>
      <c r="F683">
        <v>2111</v>
      </c>
      <c r="G683">
        <v>1102</v>
      </c>
      <c r="H683">
        <v>51</v>
      </c>
      <c r="I683" t="s">
        <v>941</v>
      </c>
      <c r="J683">
        <v>6</v>
      </c>
      <c r="K683" t="s">
        <v>950</v>
      </c>
    </row>
    <row r="684" spans="1:11" x14ac:dyDescent="0.25">
      <c r="A684" t="s">
        <v>565</v>
      </c>
      <c r="B684" t="s">
        <v>936</v>
      </c>
      <c r="C684" s="3">
        <v>3737</v>
      </c>
      <c r="D684" s="3">
        <v>-2363</v>
      </c>
      <c r="E684" s="3">
        <v>8883</v>
      </c>
      <c r="F684">
        <v>4670</v>
      </c>
      <c r="G684">
        <v>1430</v>
      </c>
      <c r="H684">
        <v>45</v>
      </c>
      <c r="I684" t="s">
        <v>938</v>
      </c>
      <c r="J684">
        <v>1</v>
      </c>
      <c r="K684" t="s">
        <v>953</v>
      </c>
    </row>
    <row r="685" spans="1:11" x14ac:dyDescent="0.25">
      <c r="A685" t="s">
        <v>566</v>
      </c>
      <c r="B685" t="s">
        <v>935</v>
      </c>
      <c r="C685" s="3">
        <v>11743</v>
      </c>
      <c r="D685" s="3">
        <v>7821</v>
      </c>
      <c r="E685" s="3">
        <v>9761</v>
      </c>
      <c r="F685">
        <v>3688</v>
      </c>
      <c r="G685">
        <v>234</v>
      </c>
      <c r="H685">
        <v>90</v>
      </c>
      <c r="I685" t="s">
        <v>942</v>
      </c>
      <c r="J685">
        <v>10</v>
      </c>
      <c r="K685" t="s">
        <v>945</v>
      </c>
    </row>
    <row r="686" spans="1:11" x14ac:dyDescent="0.25">
      <c r="A686" t="s">
        <v>567</v>
      </c>
      <c r="B686" t="s">
        <v>936</v>
      </c>
      <c r="C686" s="3">
        <v>7688</v>
      </c>
      <c r="D686" s="3">
        <v>2912</v>
      </c>
      <c r="E686" s="3">
        <v>6400</v>
      </c>
      <c r="F686">
        <v>4003</v>
      </c>
      <c r="G686">
        <v>773</v>
      </c>
      <c r="H686">
        <v>115</v>
      </c>
      <c r="I686" t="s">
        <v>939</v>
      </c>
      <c r="J686">
        <v>2</v>
      </c>
      <c r="K686" t="s">
        <v>943</v>
      </c>
    </row>
    <row r="687" spans="1:11" x14ac:dyDescent="0.25">
      <c r="A687" t="s">
        <v>568</v>
      </c>
      <c r="B687" t="s">
        <v>937</v>
      </c>
      <c r="C687" s="3">
        <v>4035</v>
      </c>
      <c r="D687" s="3">
        <v>-584</v>
      </c>
      <c r="E687" s="3">
        <v>6684</v>
      </c>
      <c r="F687">
        <v>3980</v>
      </c>
      <c r="G687">
        <v>639</v>
      </c>
      <c r="H687">
        <v>90</v>
      </c>
      <c r="I687" t="s">
        <v>939</v>
      </c>
      <c r="J687">
        <v>9</v>
      </c>
      <c r="K687" t="s">
        <v>946</v>
      </c>
    </row>
    <row r="688" spans="1:11" x14ac:dyDescent="0.25">
      <c r="A688" t="s">
        <v>569</v>
      </c>
      <c r="B688" t="s">
        <v>936</v>
      </c>
      <c r="C688" s="3">
        <v>2328</v>
      </c>
      <c r="D688" s="3">
        <v>-1878</v>
      </c>
      <c r="E688" s="3">
        <v>6916</v>
      </c>
      <c r="F688">
        <v>3765</v>
      </c>
      <c r="G688">
        <v>441</v>
      </c>
      <c r="H688">
        <v>11</v>
      </c>
      <c r="I688" t="s">
        <v>939</v>
      </c>
      <c r="J688">
        <v>2</v>
      </c>
      <c r="K688" t="s">
        <v>945</v>
      </c>
    </row>
    <row r="689" spans="1:11" x14ac:dyDescent="0.25">
      <c r="A689" t="s">
        <v>555</v>
      </c>
      <c r="B689" t="s">
        <v>937</v>
      </c>
      <c r="C689" s="3">
        <v>5750</v>
      </c>
      <c r="D689" s="3">
        <v>2112</v>
      </c>
      <c r="E689" s="3">
        <v>5854</v>
      </c>
      <c r="F689">
        <v>2475</v>
      </c>
      <c r="G689">
        <v>1163</v>
      </c>
      <c r="H689">
        <v>52</v>
      </c>
      <c r="I689" t="s">
        <v>942</v>
      </c>
      <c r="J689">
        <v>9</v>
      </c>
      <c r="K689" t="s">
        <v>944</v>
      </c>
    </row>
    <row r="690" spans="1:11" x14ac:dyDescent="0.25">
      <c r="A690" t="s">
        <v>86</v>
      </c>
      <c r="B690" t="s">
        <v>937</v>
      </c>
      <c r="C690" s="3">
        <v>5911</v>
      </c>
      <c r="D690" s="3">
        <v>2308</v>
      </c>
      <c r="E690" s="3">
        <v>7555</v>
      </c>
      <c r="F690">
        <v>2166</v>
      </c>
      <c r="G690">
        <v>1437</v>
      </c>
      <c r="H690">
        <v>113</v>
      </c>
      <c r="I690" t="s">
        <v>940</v>
      </c>
      <c r="J690">
        <v>4</v>
      </c>
      <c r="K690" t="s">
        <v>946</v>
      </c>
    </row>
    <row r="691" spans="1:11" x14ac:dyDescent="0.25">
      <c r="A691" t="s">
        <v>570</v>
      </c>
      <c r="B691" t="s">
        <v>935</v>
      </c>
      <c r="C691" s="3">
        <v>8386</v>
      </c>
      <c r="D691" s="3">
        <v>3951</v>
      </c>
      <c r="E691" s="3">
        <v>6736</v>
      </c>
      <c r="F691">
        <v>3240</v>
      </c>
      <c r="G691">
        <v>1195</v>
      </c>
      <c r="H691">
        <v>81</v>
      </c>
      <c r="I691" t="s">
        <v>940</v>
      </c>
      <c r="J691">
        <v>3</v>
      </c>
      <c r="K691" t="s">
        <v>943</v>
      </c>
    </row>
    <row r="692" spans="1:11" x14ac:dyDescent="0.25">
      <c r="A692" t="s">
        <v>282</v>
      </c>
      <c r="B692" t="s">
        <v>934</v>
      </c>
      <c r="C692" s="3">
        <v>4069</v>
      </c>
      <c r="D692" s="3">
        <v>1502</v>
      </c>
      <c r="E692" s="3">
        <v>6133</v>
      </c>
      <c r="F692">
        <v>1702</v>
      </c>
      <c r="G692">
        <v>865</v>
      </c>
      <c r="H692">
        <v>33</v>
      </c>
      <c r="I692" t="s">
        <v>940</v>
      </c>
      <c r="J692">
        <v>10</v>
      </c>
      <c r="K692" t="s">
        <v>951</v>
      </c>
    </row>
    <row r="693" spans="1:11" x14ac:dyDescent="0.25">
      <c r="A693" t="s">
        <v>571</v>
      </c>
      <c r="B693" t="s">
        <v>934</v>
      </c>
      <c r="C693" s="3">
        <v>10187</v>
      </c>
      <c r="D693" s="3">
        <v>5694</v>
      </c>
      <c r="E693" s="3">
        <v>8852</v>
      </c>
      <c r="F693">
        <v>4082</v>
      </c>
      <c r="G693">
        <v>411</v>
      </c>
      <c r="H693">
        <v>41</v>
      </c>
      <c r="I693" t="s">
        <v>938</v>
      </c>
      <c r="J693">
        <v>4</v>
      </c>
      <c r="K693" t="s">
        <v>945</v>
      </c>
    </row>
    <row r="694" spans="1:11" x14ac:dyDescent="0.25">
      <c r="A694" t="s">
        <v>572</v>
      </c>
      <c r="B694" t="s">
        <v>936</v>
      </c>
      <c r="C694" s="3">
        <v>4877</v>
      </c>
      <c r="D694" s="3">
        <v>-163</v>
      </c>
      <c r="E694" s="3">
        <v>9723</v>
      </c>
      <c r="F694">
        <v>3536</v>
      </c>
      <c r="G694">
        <v>1504</v>
      </c>
      <c r="H694">
        <v>16</v>
      </c>
      <c r="I694" t="s">
        <v>938</v>
      </c>
      <c r="J694">
        <v>5</v>
      </c>
      <c r="K694" t="s">
        <v>948</v>
      </c>
    </row>
    <row r="695" spans="1:11" x14ac:dyDescent="0.25">
      <c r="A695" t="s">
        <v>573</v>
      </c>
      <c r="B695" t="s">
        <v>936</v>
      </c>
      <c r="C695" s="3">
        <v>3623</v>
      </c>
      <c r="D695" s="3">
        <v>-862</v>
      </c>
      <c r="E695" s="3">
        <v>9509</v>
      </c>
      <c r="F695">
        <v>3587</v>
      </c>
      <c r="G695">
        <v>898</v>
      </c>
      <c r="H695">
        <v>100</v>
      </c>
      <c r="I695" t="s">
        <v>940</v>
      </c>
      <c r="J695">
        <v>10</v>
      </c>
      <c r="K695" t="s">
        <v>952</v>
      </c>
    </row>
    <row r="696" spans="1:11" x14ac:dyDescent="0.25">
      <c r="A696" t="s">
        <v>574</v>
      </c>
      <c r="B696" t="s">
        <v>934</v>
      </c>
      <c r="C696" s="3">
        <v>5058</v>
      </c>
      <c r="D696" s="3">
        <v>399</v>
      </c>
      <c r="E696" s="3">
        <v>7768</v>
      </c>
      <c r="F696">
        <v>3035</v>
      </c>
      <c r="G696">
        <v>1624</v>
      </c>
      <c r="H696">
        <v>27</v>
      </c>
      <c r="I696" t="s">
        <v>940</v>
      </c>
      <c r="J696">
        <v>6</v>
      </c>
      <c r="K696" t="s">
        <v>945</v>
      </c>
    </row>
    <row r="697" spans="1:11" x14ac:dyDescent="0.25">
      <c r="A697" t="s">
        <v>517</v>
      </c>
      <c r="B697" t="s">
        <v>935</v>
      </c>
      <c r="C697" s="3">
        <v>4573</v>
      </c>
      <c r="D697" s="3">
        <v>-761</v>
      </c>
      <c r="E697" s="3">
        <v>8145</v>
      </c>
      <c r="F697">
        <v>3584</v>
      </c>
      <c r="G697">
        <v>1750</v>
      </c>
      <c r="H697">
        <v>59</v>
      </c>
      <c r="I697" t="s">
        <v>938</v>
      </c>
      <c r="J697">
        <v>8</v>
      </c>
      <c r="K697" t="s">
        <v>950</v>
      </c>
    </row>
    <row r="698" spans="1:11" x14ac:dyDescent="0.25">
      <c r="A698" t="s">
        <v>575</v>
      </c>
      <c r="B698" t="s">
        <v>935</v>
      </c>
      <c r="C698" s="3">
        <v>8042</v>
      </c>
      <c r="D698" s="3">
        <v>6282</v>
      </c>
      <c r="E698" s="3">
        <v>4014</v>
      </c>
      <c r="F698">
        <v>1364</v>
      </c>
      <c r="G698">
        <v>396</v>
      </c>
      <c r="H698">
        <v>61</v>
      </c>
      <c r="I698" t="s">
        <v>938</v>
      </c>
      <c r="J698">
        <v>8</v>
      </c>
      <c r="K698" t="s">
        <v>945</v>
      </c>
    </row>
    <row r="699" spans="1:11" x14ac:dyDescent="0.25">
      <c r="A699" t="s">
        <v>576</v>
      </c>
      <c r="B699" t="s">
        <v>935</v>
      </c>
      <c r="C699" s="3">
        <v>6695</v>
      </c>
      <c r="D699" s="3">
        <v>5275</v>
      </c>
      <c r="E699" s="3">
        <v>4955</v>
      </c>
      <c r="F699">
        <v>1003</v>
      </c>
      <c r="G699">
        <v>417</v>
      </c>
      <c r="H699">
        <v>35</v>
      </c>
      <c r="I699" t="s">
        <v>939</v>
      </c>
      <c r="J699">
        <v>6</v>
      </c>
      <c r="K699" t="s">
        <v>950</v>
      </c>
    </row>
    <row r="700" spans="1:11" x14ac:dyDescent="0.25">
      <c r="A700" t="s">
        <v>487</v>
      </c>
      <c r="B700" t="s">
        <v>935</v>
      </c>
      <c r="C700" s="3">
        <v>2880</v>
      </c>
      <c r="D700" s="3">
        <v>-2576</v>
      </c>
      <c r="E700" s="3">
        <v>7674</v>
      </c>
      <c r="F700">
        <v>4106</v>
      </c>
      <c r="G700">
        <v>1350</v>
      </c>
      <c r="H700">
        <v>120</v>
      </c>
      <c r="I700" t="s">
        <v>939</v>
      </c>
      <c r="J700">
        <v>1</v>
      </c>
      <c r="K700" t="s">
        <v>946</v>
      </c>
    </row>
    <row r="701" spans="1:11" x14ac:dyDescent="0.25">
      <c r="A701" t="s">
        <v>573</v>
      </c>
      <c r="B701" t="s">
        <v>934</v>
      </c>
      <c r="C701" s="3">
        <v>10092</v>
      </c>
      <c r="D701" s="3">
        <v>4559</v>
      </c>
      <c r="E701" s="3">
        <v>7602</v>
      </c>
      <c r="F701">
        <v>3718</v>
      </c>
      <c r="G701">
        <v>1815</v>
      </c>
      <c r="H701">
        <v>92</v>
      </c>
      <c r="I701" t="s">
        <v>942</v>
      </c>
      <c r="J701">
        <v>2</v>
      </c>
      <c r="K701" t="s">
        <v>952</v>
      </c>
    </row>
    <row r="702" spans="1:11" x14ac:dyDescent="0.25">
      <c r="A702" t="s">
        <v>456</v>
      </c>
      <c r="B702" t="s">
        <v>935</v>
      </c>
      <c r="C702" s="3">
        <v>5540</v>
      </c>
      <c r="D702" s="3">
        <v>1236</v>
      </c>
      <c r="E702" s="3">
        <v>7492</v>
      </c>
      <c r="F702">
        <v>3952</v>
      </c>
      <c r="G702">
        <v>352</v>
      </c>
      <c r="H702">
        <v>110</v>
      </c>
      <c r="I702" t="s">
        <v>942</v>
      </c>
      <c r="J702">
        <v>6</v>
      </c>
      <c r="K702" t="s">
        <v>945</v>
      </c>
    </row>
    <row r="703" spans="1:11" x14ac:dyDescent="0.25">
      <c r="A703" t="s">
        <v>577</v>
      </c>
      <c r="B703" t="s">
        <v>937</v>
      </c>
      <c r="C703" s="3">
        <v>9944</v>
      </c>
      <c r="D703" s="3">
        <v>6466</v>
      </c>
      <c r="E703" s="3">
        <v>4801</v>
      </c>
      <c r="F703">
        <v>2806</v>
      </c>
      <c r="G703">
        <v>672</v>
      </c>
      <c r="H703">
        <v>21</v>
      </c>
      <c r="I703" t="s">
        <v>941</v>
      </c>
      <c r="J703">
        <v>2</v>
      </c>
      <c r="K703" t="s">
        <v>946</v>
      </c>
    </row>
    <row r="704" spans="1:11" x14ac:dyDescent="0.25">
      <c r="A704" t="s">
        <v>578</v>
      </c>
      <c r="B704" t="s">
        <v>937</v>
      </c>
      <c r="C704" s="3">
        <v>6198</v>
      </c>
      <c r="D704" s="3">
        <v>399</v>
      </c>
      <c r="E704" s="3">
        <v>9916</v>
      </c>
      <c r="F704">
        <v>4526</v>
      </c>
      <c r="G704">
        <v>1273</v>
      </c>
      <c r="H704">
        <v>87</v>
      </c>
      <c r="I704" t="s">
        <v>940</v>
      </c>
      <c r="J704">
        <v>3</v>
      </c>
      <c r="K704" t="s">
        <v>952</v>
      </c>
    </row>
    <row r="705" spans="1:11" x14ac:dyDescent="0.25">
      <c r="A705" t="s">
        <v>186</v>
      </c>
      <c r="B705" t="s">
        <v>937</v>
      </c>
      <c r="C705" s="3">
        <v>10004</v>
      </c>
      <c r="D705" s="3">
        <v>5502</v>
      </c>
      <c r="E705" s="3">
        <v>7995</v>
      </c>
      <c r="F705">
        <v>3504</v>
      </c>
      <c r="G705">
        <v>998</v>
      </c>
      <c r="H705">
        <v>47</v>
      </c>
      <c r="I705" t="s">
        <v>942</v>
      </c>
      <c r="J705">
        <v>3</v>
      </c>
      <c r="K705" t="s">
        <v>954</v>
      </c>
    </row>
    <row r="706" spans="1:11" x14ac:dyDescent="0.25">
      <c r="A706" t="s">
        <v>579</v>
      </c>
      <c r="B706" t="s">
        <v>934</v>
      </c>
      <c r="C706" s="3">
        <v>5857</v>
      </c>
      <c r="D706" s="3">
        <v>1177</v>
      </c>
      <c r="E706" s="3">
        <v>7808</v>
      </c>
      <c r="F706">
        <v>3992</v>
      </c>
      <c r="G706">
        <v>688</v>
      </c>
      <c r="H706">
        <v>14</v>
      </c>
      <c r="I706" t="s">
        <v>941</v>
      </c>
      <c r="J706">
        <v>10</v>
      </c>
      <c r="K706" t="s">
        <v>947</v>
      </c>
    </row>
    <row r="707" spans="1:11" x14ac:dyDescent="0.25">
      <c r="A707" t="s">
        <v>580</v>
      </c>
      <c r="B707" t="s">
        <v>936</v>
      </c>
      <c r="C707" s="3">
        <v>5419</v>
      </c>
      <c r="D707" s="3">
        <v>-699</v>
      </c>
      <c r="E707" s="3">
        <v>8765</v>
      </c>
      <c r="F707">
        <v>4293</v>
      </c>
      <c r="G707">
        <v>1825</v>
      </c>
      <c r="H707">
        <v>82</v>
      </c>
      <c r="I707" t="s">
        <v>938</v>
      </c>
      <c r="J707">
        <v>9</v>
      </c>
      <c r="K707" t="s">
        <v>943</v>
      </c>
    </row>
    <row r="708" spans="1:11" x14ac:dyDescent="0.25">
      <c r="A708" t="s">
        <v>32</v>
      </c>
      <c r="B708" t="s">
        <v>937</v>
      </c>
      <c r="C708" s="3">
        <v>9038</v>
      </c>
      <c r="D708" s="3">
        <v>5020</v>
      </c>
      <c r="E708" s="3">
        <v>6274</v>
      </c>
      <c r="F708">
        <v>3269</v>
      </c>
      <c r="G708">
        <v>749</v>
      </c>
      <c r="H708">
        <v>39</v>
      </c>
      <c r="I708" t="s">
        <v>939</v>
      </c>
      <c r="J708">
        <v>10</v>
      </c>
      <c r="K708" t="s">
        <v>948</v>
      </c>
    </row>
    <row r="709" spans="1:11" x14ac:dyDescent="0.25">
      <c r="A709" t="s">
        <v>206</v>
      </c>
      <c r="B709" t="s">
        <v>936</v>
      </c>
      <c r="C709" s="3">
        <v>2206</v>
      </c>
      <c r="D709" s="3">
        <v>-413</v>
      </c>
      <c r="E709" s="3">
        <v>5240</v>
      </c>
      <c r="F709">
        <v>1133</v>
      </c>
      <c r="G709">
        <v>1486</v>
      </c>
      <c r="H709">
        <v>100</v>
      </c>
      <c r="I709" t="s">
        <v>938</v>
      </c>
      <c r="J709">
        <v>2</v>
      </c>
      <c r="K709" t="s">
        <v>947</v>
      </c>
    </row>
    <row r="710" spans="1:11" x14ac:dyDescent="0.25">
      <c r="A710" t="s">
        <v>581</v>
      </c>
      <c r="B710" t="s">
        <v>934</v>
      </c>
      <c r="C710" s="3">
        <v>3231</v>
      </c>
      <c r="D710" s="3">
        <v>-2840</v>
      </c>
      <c r="E710" s="3">
        <v>5566</v>
      </c>
      <c r="F710">
        <v>4731</v>
      </c>
      <c r="G710">
        <v>1340</v>
      </c>
      <c r="H710">
        <v>66</v>
      </c>
      <c r="I710" t="s">
        <v>939</v>
      </c>
      <c r="J710">
        <v>3</v>
      </c>
      <c r="K710" t="s">
        <v>951</v>
      </c>
    </row>
    <row r="711" spans="1:11" x14ac:dyDescent="0.25">
      <c r="A711" t="s">
        <v>582</v>
      </c>
      <c r="B711" t="s">
        <v>934</v>
      </c>
      <c r="C711" s="3">
        <v>11944</v>
      </c>
      <c r="D711" s="3">
        <v>7133</v>
      </c>
      <c r="E711" s="3">
        <v>5936</v>
      </c>
      <c r="F711">
        <v>4283</v>
      </c>
      <c r="G711">
        <v>528</v>
      </c>
      <c r="H711">
        <v>116</v>
      </c>
      <c r="I711" t="s">
        <v>941</v>
      </c>
      <c r="J711">
        <v>9</v>
      </c>
      <c r="K711" t="s">
        <v>946</v>
      </c>
    </row>
    <row r="712" spans="1:11" x14ac:dyDescent="0.25">
      <c r="A712" t="s">
        <v>131</v>
      </c>
      <c r="B712" t="s">
        <v>936</v>
      </c>
      <c r="C712" s="3">
        <v>11288</v>
      </c>
      <c r="D712" s="3">
        <v>8528</v>
      </c>
      <c r="E712" s="3">
        <v>7789</v>
      </c>
      <c r="F712">
        <v>1956</v>
      </c>
      <c r="G712">
        <v>804</v>
      </c>
      <c r="H712">
        <v>46</v>
      </c>
      <c r="I712" t="s">
        <v>938</v>
      </c>
      <c r="J712">
        <v>6</v>
      </c>
      <c r="K712" t="s">
        <v>949</v>
      </c>
    </row>
    <row r="713" spans="1:11" x14ac:dyDescent="0.25">
      <c r="A713" t="s">
        <v>583</v>
      </c>
      <c r="B713" t="s">
        <v>936</v>
      </c>
      <c r="C713" s="3">
        <v>9457</v>
      </c>
      <c r="D713" s="3">
        <v>4564</v>
      </c>
      <c r="E713" s="3">
        <v>9259</v>
      </c>
      <c r="F713">
        <v>3134</v>
      </c>
      <c r="G713">
        <v>1759</v>
      </c>
      <c r="H713">
        <v>13</v>
      </c>
      <c r="I713" t="s">
        <v>938</v>
      </c>
      <c r="J713">
        <v>3</v>
      </c>
      <c r="K713" t="s">
        <v>954</v>
      </c>
    </row>
    <row r="714" spans="1:11" x14ac:dyDescent="0.25">
      <c r="A714" t="s">
        <v>323</v>
      </c>
      <c r="B714" t="s">
        <v>935</v>
      </c>
      <c r="C714" s="3">
        <v>4617</v>
      </c>
      <c r="D714" s="3">
        <v>118</v>
      </c>
      <c r="E714" s="3">
        <v>6291</v>
      </c>
      <c r="F714">
        <v>3376</v>
      </c>
      <c r="G714">
        <v>1123</v>
      </c>
      <c r="H714">
        <v>20</v>
      </c>
      <c r="I714" t="s">
        <v>941</v>
      </c>
      <c r="J714">
        <v>3</v>
      </c>
      <c r="K714" t="s">
        <v>952</v>
      </c>
    </row>
    <row r="715" spans="1:11" x14ac:dyDescent="0.25">
      <c r="A715" t="s">
        <v>584</v>
      </c>
      <c r="B715" t="s">
        <v>937</v>
      </c>
      <c r="C715" s="3">
        <v>3653</v>
      </c>
      <c r="D715" s="3">
        <v>-904</v>
      </c>
      <c r="E715" s="3">
        <v>4884</v>
      </c>
      <c r="F715">
        <v>4357</v>
      </c>
      <c r="G715">
        <v>200</v>
      </c>
      <c r="H715">
        <v>119</v>
      </c>
      <c r="I715" t="s">
        <v>940</v>
      </c>
      <c r="J715">
        <v>10</v>
      </c>
      <c r="K715" t="s">
        <v>952</v>
      </c>
    </row>
    <row r="716" spans="1:11" x14ac:dyDescent="0.25">
      <c r="A716" t="s">
        <v>585</v>
      </c>
      <c r="B716" t="s">
        <v>934</v>
      </c>
      <c r="C716" s="3">
        <v>3339</v>
      </c>
      <c r="D716" s="3">
        <v>-891</v>
      </c>
      <c r="E716" s="3">
        <v>4093</v>
      </c>
      <c r="F716">
        <v>4024</v>
      </c>
      <c r="G716">
        <v>206</v>
      </c>
      <c r="H716">
        <v>63</v>
      </c>
      <c r="I716" t="s">
        <v>940</v>
      </c>
      <c r="J716">
        <v>7</v>
      </c>
      <c r="K716" t="s">
        <v>954</v>
      </c>
    </row>
    <row r="717" spans="1:11" x14ac:dyDescent="0.25">
      <c r="A717" t="s">
        <v>127</v>
      </c>
      <c r="B717" t="s">
        <v>935</v>
      </c>
      <c r="C717" s="3">
        <v>11560</v>
      </c>
      <c r="D717" s="3">
        <v>5827</v>
      </c>
      <c r="E717" s="3">
        <v>6883</v>
      </c>
      <c r="F717">
        <v>4493</v>
      </c>
      <c r="G717">
        <v>1240</v>
      </c>
      <c r="H717">
        <v>109</v>
      </c>
      <c r="I717" t="s">
        <v>942</v>
      </c>
      <c r="J717">
        <v>8</v>
      </c>
      <c r="K717" t="s">
        <v>944</v>
      </c>
    </row>
    <row r="718" spans="1:11" x14ac:dyDescent="0.25">
      <c r="A718" t="s">
        <v>442</v>
      </c>
      <c r="B718" t="s">
        <v>937</v>
      </c>
      <c r="C718" s="3">
        <v>2021</v>
      </c>
      <c r="D718" s="3">
        <v>-2317</v>
      </c>
      <c r="E718" s="3">
        <v>8014</v>
      </c>
      <c r="F718">
        <v>2462</v>
      </c>
      <c r="G718">
        <v>1876</v>
      </c>
      <c r="H718">
        <v>35</v>
      </c>
      <c r="I718" t="s">
        <v>939</v>
      </c>
      <c r="J718">
        <v>10</v>
      </c>
      <c r="K718" t="s">
        <v>953</v>
      </c>
    </row>
    <row r="719" spans="1:11" x14ac:dyDescent="0.25">
      <c r="A719" t="s">
        <v>586</v>
      </c>
      <c r="B719" t="s">
        <v>937</v>
      </c>
      <c r="C719" s="3">
        <v>2806</v>
      </c>
      <c r="D719" s="3">
        <v>-677</v>
      </c>
      <c r="E719" s="3">
        <v>8977</v>
      </c>
      <c r="F719">
        <v>2085</v>
      </c>
      <c r="G719">
        <v>1398</v>
      </c>
      <c r="H719">
        <v>82</v>
      </c>
      <c r="I719" t="s">
        <v>941</v>
      </c>
      <c r="J719">
        <v>1</v>
      </c>
      <c r="K719" t="s">
        <v>945</v>
      </c>
    </row>
    <row r="720" spans="1:11" x14ac:dyDescent="0.25">
      <c r="A720" t="s">
        <v>221</v>
      </c>
      <c r="B720" t="s">
        <v>934</v>
      </c>
      <c r="C720" s="3">
        <v>10871</v>
      </c>
      <c r="D720" s="3">
        <v>6998</v>
      </c>
      <c r="E720" s="3">
        <v>5297</v>
      </c>
      <c r="F720">
        <v>2026</v>
      </c>
      <c r="G720">
        <v>1847</v>
      </c>
      <c r="H720">
        <v>95</v>
      </c>
      <c r="I720" t="s">
        <v>939</v>
      </c>
      <c r="J720">
        <v>7</v>
      </c>
      <c r="K720" t="s">
        <v>947</v>
      </c>
    </row>
    <row r="721" spans="1:11" x14ac:dyDescent="0.25">
      <c r="A721" t="s">
        <v>587</v>
      </c>
      <c r="B721" t="s">
        <v>935</v>
      </c>
      <c r="C721" s="3">
        <v>3149</v>
      </c>
      <c r="D721" s="3">
        <v>-994</v>
      </c>
      <c r="E721" s="3">
        <v>9408</v>
      </c>
      <c r="F721">
        <v>2766</v>
      </c>
      <c r="G721">
        <v>1377</v>
      </c>
      <c r="H721">
        <v>96</v>
      </c>
      <c r="I721" t="s">
        <v>942</v>
      </c>
      <c r="J721">
        <v>1</v>
      </c>
      <c r="K721" t="s">
        <v>950</v>
      </c>
    </row>
    <row r="722" spans="1:11" x14ac:dyDescent="0.25">
      <c r="A722" t="s">
        <v>356</v>
      </c>
      <c r="B722" t="s">
        <v>934</v>
      </c>
      <c r="C722" s="3">
        <v>11897</v>
      </c>
      <c r="D722" s="3">
        <v>6525</v>
      </c>
      <c r="E722" s="3">
        <v>7909</v>
      </c>
      <c r="F722">
        <v>4434</v>
      </c>
      <c r="G722">
        <v>938</v>
      </c>
      <c r="H722">
        <v>36</v>
      </c>
      <c r="I722" t="s">
        <v>940</v>
      </c>
      <c r="J722">
        <v>4</v>
      </c>
      <c r="K722" t="s">
        <v>950</v>
      </c>
    </row>
    <row r="723" spans="1:11" x14ac:dyDescent="0.25">
      <c r="A723" t="s">
        <v>140</v>
      </c>
      <c r="B723" t="s">
        <v>935</v>
      </c>
      <c r="C723" s="3">
        <v>4167</v>
      </c>
      <c r="D723" s="3">
        <v>-109</v>
      </c>
      <c r="E723" s="3">
        <v>6003</v>
      </c>
      <c r="F723">
        <v>2800</v>
      </c>
      <c r="G723">
        <v>1476</v>
      </c>
      <c r="H723">
        <v>72</v>
      </c>
      <c r="I723" t="s">
        <v>941</v>
      </c>
      <c r="J723">
        <v>5</v>
      </c>
      <c r="K723" t="s">
        <v>949</v>
      </c>
    </row>
    <row r="724" spans="1:11" x14ac:dyDescent="0.25">
      <c r="A724" t="s">
        <v>588</v>
      </c>
      <c r="B724" t="s">
        <v>935</v>
      </c>
      <c r="C724" s="3">
        <v>11126</v>
      </c>
      <c r="D724" s="3">
        <v>5812</v>
      </c>
      <c r="E724" s="3">
        <v>6814</v>
      </c>
      <c r="F724">
        <v>3473</v>
      </c>
      <c r="G724">
        <v>1841</v>
      </c>
      <c r="H724">
        <v>37</v>
      </c>
      <c r="I724" t="s">
        <v>940</v>
      </c>
      <c r="J724">
        <v>8</v>
      </c>
      <c r="K724" t="s">
        <v>954</v>
      </c>
    </row>
    <row r="725" spans="1:11" x14ac:dyDescent="0.25">
      <c r="A725" t="s">
        <v>119</v>
      </c>
      <c r="B725" t="s">
        <v>936</v>
      </c>
      <c r="C725" s="3">
        <v>3683</v>
      </c>
      <c r="D725" s="3">
        <v>-2361</v>
      </c>
      <c r="E725" s="3">
        <v>6621</v>
      </c>
      <c r="F725">
        <v>4647</v>
      </c>
      <c r="G725">
        <v>1397</v>
      </c>
      <c r="H725">
        <v>51</v>
      </c>
      <c r="I725" t="s">
        <v>940</v>
      </c>
      <c r="J725">
        <v>2</v>
      </c>
      <c r="K725" t="s">
        <v>946</v>
      </c>
    </row>
    <row r="726" spans="1:11" x14ac:dyDescent="0.25">
      <c r="A726" t="s">
        <v>589</v>
      </c>
      <c r="B726" t="s">
        <v>934</v>
      </c>
      <c r="C726" s="3">
        <v>5907</v>
      </c>
      <c r="D726" s="3">
        <v>1516</v>
      </c>
      <c r="E726" s="3">
        <v>7282</v>
      </c>
      <c r="F726">
        <v>3578</v>
      </c>
      <c r="G726">
        <v>813</v>
      </c>
      <c r="H726">
        <v>57</v>
      </c>
      <c r="I726" t="s">
        <v>938</v>
      </c>
      <c r="J726">
        <v>9</v>
      </c>
      <c r="K726" t="s">
        <v>952</v>
      </c>
    </row>
    <row r="727" spans="1:11" x14ac:dyDescent="0.25">
      <c r="A727" t="s">
        <v>205</v>
      </c>
      <c r="B727" t="s">
        <v>937</v>
      </c>
      <c r="C727" s="3">
        <v>2644</v>
      </c>
      <c r="D727" s="3">
        <v>-3081</v>
      </c>
      <c r="E727" s="3">
        <v>9346</v>
      </c>
      <c r="F727">
        <v>4262</v>
      </c>
      <c r="G727">
        <v>1463</v>
      </c>
      <c r="H727">
        <v>29</v>
      </c>
      <c r="I727" t="s">
        <v>938</v>
      </c>
      <c r="J727">
        <v>10</v>
      </c>
      <c r="K727" t="s">
        <v>947</v>
      </c>
    </row>
    <row r="728" spans="1:11" x14ac:dyDescent="0.25">
      <c r="A728" t="s">
        <v>590</v>
      </c>
      <c r="B728" t="s">
        <v>935</v>
      </c>
      <c r="C728" s="3">
        <v>2577</v>
      </c>
      <c r="D728" s="3">
        <v>-401</v>
      </c>
      <c r="E728" s="3">
        <v>9380</v>
      </c>
      <c r="F728">
        <v>1958</v>
      </c>
      <c r="G728">
        <v>1020</v>
      </c>
      <c r="H728">
        <v>29</v>
      </c>
      <c r="I728" t="s">
        <v>942</v>
      </c>
      <c r="J728">
        <v>10</v>
      </c>
      <c r="K728" t="s">
        <v>947</v>
      </c>
    </row>
    <row r="729" spans="1:11" x14ac:dyDescent="0.25">
      <c r="A729" t="s">
        <v>35</v>
      </c>
      <c r="B729" t="s">
        <v>935</v>
      </c>
      <c r="C729" s="3">
        <v>9560</v>
      </c>
      <c r="D729" s="3">
        <v>3778</v>
      </c>
      <c r="E729" s="3">
        <v>8100</v>
      </c>
      <c r="F729">
        <v>4409</v>
      </c>
      <c r="G729">
        <v>1373</v>
      </c>
      <c r="H729">
        <v>75</v>
      </c>
      <c r="I729" t="s">
        <v>941</v>
      </c>
      <c r="J729">
        <v>1</v>
      </c>
      <c r="K729" t="s">
        <v>952</v>
      </c>
    </row>
    <row r="730" spans="1:11" x14ac:dyDescent="0.25">
      <c r="A730" t="s">
        <v>287</v>
      </c>
      <c r="B730" t="s">
        <v>934</v>
      </c>
      <c r="C730" s="3">
        <v>4963</v>
      </c>
      <c r="D730" s="3">
        <v>787</v>
      </c>
      <c r="E730" s="3">
        <v>4279</v>
      </c>
      <c r="F730">
        <v>2268</v>
      </c>
      <c r="G730">
        <v>1908</v>
      </c>
      <c r="H730">
        <v>21</v>
      </c>
      <c r="I730" t="s">
        <v>939</v>
      </c>
      <c r="J730">
        <v>2</v>
      </c>
      <c r="K730" t="s">
        <v>952</v>
      </c>
    </row>
    <row r="731" spans="1:11" x14ac:dyDescent="0.25">
      <c r="A731" t="s">
        <v>63</v>
      </c>
      <c r="B731" t="s">
        <v>934</v>
      </c>
      <c r="C731" s="3">
        <v>11084</v>
      </c>
      <c r="D731" s="3">
        <v>5139</v>
      </c>
      <c r="E731" s="3">
        <v>6453</v>
      </c>
      <c r="F731">
        <v>4911</v>
      </c>
      <c r="G731">
        <v>1034</v>
      </c>
      <c r="H731">
        <v>92</v>
      </c>
      <c r="I731" t="s">
        <v>940</v>
      </c>
      <c r="J731">
        <v>5</v>
      </c>
      <c r="K731" t="s">
        <v>948</v>
      </c>
    </row>
    <row r="732" spans="1:11" x14ac:dyDescent="0.25">
      <c r="A732" t="s">
        <v>591</v>
      </c>
      <c r="B732" t="s">
        <v>934</v>
      </c>
      <c r="C732" s="3">
        <v>8161</v>
      </c>
      <c r="D732" s="3">
        <v>4586</v>
      </c>
      <c r="E732" s="3">
        <v>5631</v>
      </c>
      <c r="F732">
        <v>2443</v>
      </c>
      <c r="G732">
        <v>1132</v>
      </c>
      <c r="H732">
        <v>54</v>
      </c>
      <c r="I732" t="s">
        <v>938</v>
      </c>
      <c r="J732">
        <v>2</v>
      </c>
      <c r="K732" t="s">
        <v>944</v>
      </c>
    </row>
    <row r="733" spans="1:11" x14ac:dyDescent="0.25">
      <c r="A733" t="s">
        <v>586</v>
      </c>
      <c r="B733" t="s">
        <v>936</v>
      </c>
      <c r="C733" s="3">
        <v>5670</v>
      </c>
      <c r="D733" s="3">
        <v>932</v>
      </c>
      <c r="E733" s="3">
        <v>8785</v>
      </c>
      <c r="F733">
        <v>3572</v>
      </c>
      <c r="G733">
        <v>1166</v>
      </c>
      <c r="H733">
        <v>40</v>
      </c>
      <c r="I733" t="s">
        <v>939</v>
      </c>
      <c r="J733">
        <v>8</v>
      </c>
      <c r="K733" t="s">
        <v>945</v>
      </c>
    </row>
    <row r="734" spans="1:11" x14ac:dyDescent="0.25">
      <c r="A734" t="s">
        <v>592</v>
      </c>
      <c r="B734" t="s">
        <v>935</v>
      </c>
      <c r="C734" s="3">
        <v>11466</v>
      </c>
      <c r="D734" s="3">
        <v>6031</v>
      </c>
      <c r="E734" s="3">
        <v>9269</v>
      </c>
      <c r="F734">
        <v>4530</v>
      </c>
      <c r="G734">
        <v>905</v>
      </c>
      <c r="H734">
        <v>52</v>
      </c>
      <c r="I734" t="s">
        <v>938</v>
      </c>
      <c r="J734">
        <v>4</v>
      </c>
      <c r="K734" t="s">
        <v>946</v>
      </c>
    </row>
    <row r="735" spans="1:11" x14ac:dyDescent="0.25">
      <c r="A735" t="s">
        <v>593</v>
      </c>
      <c r="B735" t="s">
        <v>935</v>
      </c>
      <c r="C735" s="3">
        <v>6012</v>
      </c>
      <c r="D735" s="3">
        <v>4215</v>
      </c>
      <c r="E735" s="3">
        <v>6579</v>
      </c>
      <c r="F735">
        <v>957</v>
      </c>
      <c r="G735">
        <v>840</v>
      </c>
      <c r="H735">
        <v>108</v>
      </c>
      <c r="I735" t="s">
        <v>940</v>
      </c>
      <c r="J735">
        <v>8</v>
      </c>
      <c r="K735" t="s">
        <v>944</v>
      </c>
    </row>
    <row r="736" spans="1:11" x14ac:dyDescent="0.25">
      <c r="A736" t="s">
        <v>547</v>
      </c>
      <c r="B736" t="s">
        <v>936</v>
      </c>
      <c r="C736" s="3">
        <v>9575</v>
      </c>
      <c r="D736" s="3">
        <v>5521</v>
      </c>
      <c r="E736" s="3">
        <v>4693</v>
      </c>
      <c r="F736">
        <v>2635</v>
      </c>
      <c r="G736">
        <v>1419</v>
      </c>
      <c r="H736">
        <v>74</v>
      </c>
      <c r="I736" t="s">
        <v>939</v>
      </c>
      <c r="J736">
        <v>9</v>
      </c>
      <c r="K736" t="s">
        <v>952</v>
      </c>
    </row>
    <row r="737" spans="1:11" x14ac:dyDescent="0.25">
      <c r="A737" t="s">
        <v>594</v>
      </c>
      <c r="B737" t="s">
        <v>937</v>
      </c>
      <c r="C737" s="3">
        <v>7349</v>
      </c>
      <c r="D737" s="3">
        <v>2582</v>
      </c>
      <c r="E737" s="3">
        <v>4239</v>
      </c>
      <c r="F737">
        <v>2934</v>
      </c>
      <c r="G737">
        <v>1833</v>
      </c>
      <c r="H737">
        <v>120</v>
      </c>
      <c r="I737" t="s">
        <v>938</v>
      </c>
      <c r="J737">
        <v>6</v>
      </c>
      <c r="K737" t="s">
        <v>949</v>
      </c>
    </row>
    <row r="738" spans="1:11" x14ac:dyDescent="0.25">
      <c r="A738" t="s">
        <v>244</v>
      </c>
      <c r="B738" t="s">
        <v>937</v>
      </c>
      <c r="C738" s="3">
        <v>7236</v>
      </c>
      <c r="D738" s="3">
        <v>2604</v>
      </c>
      <c r="E738" s="3">
        <v>9662</v>
      </c>
      <c r="F738">
        <v>3396</v>
      </c>
      <c r="G738">
        <v>1236</v>
      </c>
      <c r="H738">
        <v>107</v>
      </c>
      <c r="I738" t="s">
        <v>942</v>
      </c>
      <c r="J738">
        <v>4</v>
      </c>
      <c r="K738" t="s">
        <v>953</v>
      </c>
    </row>
    <row r="739" spans="1:11" x14ac:dyDescent="0.25">
      <c r="A739" t="s">
        <v>595</v>
      </c>
      <c r="B739" t="s">
        <v>936</v>
      </c>
      <c r="C739" s="3">
        <v>5082</v>
      </c>
      <c r="D739" s="3">
        <v>-211</v>
      </c>
      <c r="E739" s="3">
        <v>4911</v>
      </c>
      <c r="F739">
        <v>4152</v>
      </c>
      <c r="G739">
        <v>1141</v>
      </c>
      <c r="H739">
        <v>32</v>
      </c>
      <c r="I739" t="s">
        <v>939</v>
      </c>
      <c r="J739">
        <v>10</v>
      </c>
      <c r="K739" t="s">
        <v>952</v>
      </c>
    </row>
    <row r="740" spans="1:11" x14ac:dyDescent="0.25">
      <c r="A740" t="s">
        <v>596</v>
      </c>
      <c r="B740" t="s">
        <v>934</v>
      </c>
      <c r="C740" s="3">
        <v>7809</v>
      </c>
      <c r="D740" s="3">
        <v>3135</v>
      </c>
      <c r="E740" s="3">
        <v>9217</v>
      </c>
      <c r="F740">
        <v>4465</v>
      </c>
      <c r="G740">
        <v>209</v>
      </c>
      <c r="H740">
        <v>118</v>
      </c>
      <c r="I740" t="s">
        <v>942</v>
      </c>
      <c r="J740">
        <v>3</v>
      </c>
      <c r="K740" t="s">
        <v>950</v>
      </c>
    </row>
    <row r="741" spans="1:11" x14ac:dyDescent="0.25">
      <c r="A741" t="s">
        <v>597</v>
      </c>
      <c r="B741" t="s">
        <v>935</v>
      </c>
      <c r="C741" s="3">
        <v>2225</v>
      </c>
      <c r="D741" s="3">
        <v>-1068</v>
      </c>
      <c r="E741" s="3">
        <v>9894</v>
      </c>
      <c r="F741">
        <v>2778</v>
      </c>
      <c r="G741">
        <v>515</v>
      </c>
      <c r="H741">
        <v>69</v>
      </c>
      <c r="I741" t="s">
        <v>939</v>
      </c>
      <c r="J741">
        <v>3</v>
      </c>
      <c r="K741" t="s">
        <v>952</v>
      </c>
    </row>
    <row r="742" spans="1:11" x14ac:dyDescent="0.25">
      <c r="A742" t="s">
        <v>598</v>
      </c>
      <c r="B742" t="s">
        <v>934</v>
      </c>
      <c r="C742" s="3">
        <v>5002</v>
      </c>
      <c r="D742" s="3">
        <v>1300</v>
      </c>
      <c r="E742" s="3">
        <v>7979</v>
      </c>
      <c r="F742">
        <v>1931</v>
      </c>
      <c r="G742">
        <v>1771</v>
      </c>
      <c r="H742">
        <v>43</v>
      </c>
      <c r="I742" t="s">
        <v>942</v>
      </c>
      <c r="J742">
        <v>8</v>
      </c>
      <c r="K742" t="s">
        <v>952</v>
      </c>
    </row>
    <row r="743" spans="1:11" x14ac:dyDescent="0.25">
      <c r="A743" t="s">
        <v>181</v>
      </c>
      <c r="B743" t="s">
        <v>934</v>
      </c>
      <c r="C743" s="3">
        <v>7733</v>
      </c>
      <c r="D743" s="3">
        <v>4769</v>
      </c>
      <c r="E743" s="3">
        <v>6502</v>
      </c>
      <c r="F743">
        <v>2443</v>
      </c>
      <c r="G743">
        <v>521</v>
      </c>
      <c r="H743">
        <v>104</v>
      </c>
      <c r="I743" t="s">
        <v>939</v>
      </c>
      <c r="J743">
        <v>1</v>
      </c>
      <c r="K743" t="s">
        <v>946</v>
      </c>
    </row>
    <row r="744" spans="1:11" x14ac:dyDescent="0.25">
      <c r="A744" t="s">
        <v>599</v>
      </c>
      <c r="B744" t="s">
        <v>937</v>
      </c>
      <c r="C744" s="3">
        <v>4179</v>
      </c>
      <c r="D744" s="3">
        <v>-178</v>
      </c>
      <c r="E744" s="3">
        <v>6318</v>
      </c>
      <c r="F744">
        <v>2538</v>
      </c>
      <c r="G744">
        <v>1819</v>
      </c>
      <c r="H744">
        <v>112</v>
      </c>
      <c r="I744" t="s">
        <v>938</v>
      </c>
      <c r="J744">
        <v>10</v>
      </c>
      <c r="K744" t="s">
        <v>947</v>
      </c>
    </row>
    <row r="745" spans="1:11" x14ac:dyDescent="0.25">
      <c r="A745" t="s">
        <v>600</v>
      </c>
      <c r="B745" t="s">
        <v>936</v>
      </c>
      <c r="C745" s="3">
        <v>6760</v>
      </c>
      <c r="D745" s="3">
        <v>544</v>
      </c>
      <c r="E745" s="3">
        <v>5966</v>
      </c>
      <c r="F745">
        <v>4364</v>
      </c>
      <c r="G745">
        <v>1852</v>
      </c>
      <c r="H745">
        <v>10</v>
      </c>
      <c r="I745" t="s">
        <v>942</v>
      </c>
      <c r="J745">
        <v>5</v>
      </c>
      <c r="K745" t="s">
        <v>952</v>
      </c>
    </row>
    <row r="746" spans="1:11" x14ac:dyDescent="0.25">
      <c r="A746" t="s">
        <v>432</v>
      </c>
      <c r="B746" t="s">
        <v>936</v>
      </c>
      <c r="C746" s="3">
        <v>6764</v>
      </c>
      <c r="D746" s="3">
        <v>4006</v>
      </c>
      <c r="E746" s="3">
        <v>7100</v>
      </c>
      <c r="F746">
        <v>2270</v>
      </c>
      <c r="G746">
        <v>488</v>
      </c>
      <c r="H746">
        <v>103</v>
      </c>
      <c r="I746" t="s">
        <v>939</v>
      </c>
      <c r="J746">
        <v>8</v>
      </c>
      <c r="K746" t="s">
        <v>947</v>
      </c>
    </row>
    <row r="747" spans="1:11" x14ac:dyDescent="0.25">
      <c r="A747" t="s">
        <v>338</v>
      </c>
      <c r="B747" t="s">
        <v>934</v>
      </c>
      <c r="C747" s="3">
        <v>5236</v>
      </c>
      <c r="D747" s="3">
        <v>3090</v>
      </c>
      <c r="E747" s="3">
        <v>7489</v>
      </c>
      <c r="F747">
        <v>978</v>
      </c>
      <c r="G747">
        <v>1168</v>
      </c>
      <c r="H747">
        <v>83</v>
      </c>
      <c r="I747" t="s">
        <v>942</v>
      </c>
      <c r="J747">
        <v>8</v>
      </c>
      <c r="K747" t="s">
        <v>948</v>
      </c>
    </row>
    <row r="748" spans="1:11" x14ac:dyDescent="0.25">
      <c r="A748" t="s">
        <v>601</v>
      </c>
      <c r="B748" t="s">
        <v>934</v>
      </c>
      <c r="C748" s="3">
        <v>8190</v>
      </c>
      <c r="D748" s="3">
        <v>4201</v>
      </c>
      <c r="E748" s="3">
        <v>5083</v>
      </c>
      <c r="F748">
        <v>3423</v>
      </c>
      <c r="G748">
        <v>566</v>
      </c>
      <c r="H748">
        <v>63</v>
      </c>
      <c r="I748" t="s">
        <v>941</v>
      </c>
      <c r="J748">
        <v>4</v>
      </c>
      <c r="K748" t="s">
        <v>944</v>
      </c>
    </row>
    <row r="749" spans="1:11" x14ac:dyDescent="0.25">
      <c r="A749" t="s">
        <v>602</v>
      </c>
      <c r="B749" t="s">
        <v>935</v>
      </c>
      <c r="C749" s="3">
        <v>6673</v>
      </c>
      <c r="D749" s="3">
        <v>2247</v>
      </c>
      <c r="E749" s="3">
        <v>8288</v>
      </c>
      <c r="F749">
        <v>3461</v>
      </c>
      <c r="G749">
        <v>965</v>
      </c>
      <c r="H749">
        <v>55</v>
      </c>
      <c r="I749" t="s">
        <v>942</v>
      </c>
      <c r="J749">
        <v>9</v>
      </c>
      <c r="K749" t="s">
        <v>948</v>
      </c>
    </row>
    <row r="750" spans="1:11" x14ac:dyDescent="0.25">
      <c r="A750" t="s">
        <v>603</v>
      </c>
      <c r="B750" t="s">
        <v>936</v>
      </c>
      <c r="C750" s="3">
        <v>6298</v>
      </c>
      <c r="D750" s="3">
        <v>1570</v>
      </c>
      <c r="E750" s="3">
        <v>7783</v>
      </c>
      <c r="F750">
        <v>4526</v>
      </c>
      <c r="G750">
        <v>202</v>
      </c>
      <c r="H750">
        <v>106</v>
      </c>
      <c r="I750" t="s">
        <v>940</v>
      </c>
      <c r="J750">
        <v>4</v>
      </c>
      <c r="K750" t="s">
        <v>954</v>
      </c>
    </row>
    <row r="751" spans="1:11" x14ac:dyDescent="0.25">
      <c r="A751" t="s">
        <v>604</v>
      </c>
      <c r="B751" t="s">
        <v>935</v>
      </c>
      <c r="C751" s="3">
        <v>3302</v>
      </c>
      <c r="D751" s="3">
        <v>185</v>
      </c>
      <c r="E751" s="3">
        <v>8749</v>
      </c>
      <c r="F751">
        <v>1228</v>
      </c>
      <c r="G751">
        <v>1889</v>
      </c>
      <c r="H751">
        <v>108</v>
      </c>
      <c r="I751" t="s">
        <v>940</v>
      </c>
      <c r="J751">
        <v>4</v>
      </c>
      <c r="K751" t="s">
        <v>950</v>
      </c>
    </row>
    <row r="752" spans="1:11" x14ac:dyDescent="0.25">
      <c r="A752" t="s">
        <v>337</v>
      </c>
      <c r="B752" t="s">
        <v>937</v>
      </c>
      <c r="C752" s="3">
        <v>9060</v>
      </c>
      <c r="D752" s="3">
        <v>3474</v>
      </c>
      <c r="E752" s="3">
        <v>6564</v>
      </c>
      <c r="F752">
        <v>4887</v>
      </c>
      <c r="G752">
        <v>699</v>
      </c>
      <c r="H752">
        <v>65</v>
      </c>
      <c r="I752" t="s">
        <v>940</v>
      </c>
      <c r="J752">
        <v>6</v>
      </c>
      <c r="K752" t="s">
        <v>954</v>
      </c>
    </row>
    <row r="753" spans="1:11" x14ac:dyDescent="0.25">
      <c r="A753" t="s">
        <v>605</v>
      </c>
      <c r="B753" t="s">
        <v>937</v>
      </c>
      <c r="C753" s="3">
        <v>2266</v>
      </c>
      <c r="D753" s="3">
        <v>1081</v>
      </c>
      <c r="E753" s="3">
        <v>7407</v>
      </c>
      <c r="F753">
        <v>901</v>
      </c>
      <c r="G753">
        <v>284</v>
      </c>
      <c r="H753">
        <v>13</v>
      </c>
      <c r="I753" t="s">
        <v>942</v>
      </c>
      <c r="J753">
        <v>4</v>
      </c>
      <c r="K753" t="s">
        <v>950</v>
      </c>
    </row>
    <row r="754" spans="1:11" x14ac:dyDescent="0.25">
      <c r="A754" t="s">
        <v>606</v>
      </c>
      <c r="B754" t="s">
        <v>934</v>
      </c>
      <c r="C754" s="3">
        <v>3974</v>
      </c>
      <c r="D754" s="3">
        <v>819</v>
      </c>
      <c r="E754" s="3">
        <v>5348</v>
      </c>
      <c r="F754">
        <v>1250</v>
      </c>
      <c r="G754">
        <v>1905</v>
      </c>
      <c r="H754">
        <v>12</v>
      </c>
      <c r="I754" t="s">
        <v>939</v>
      </c>
      <c r="J754">
        <v>5</v>
      </c>
      <c r="K754" t="s">
        <v>946</v>
      </c>
    </row>
    <row r="755" spans="1:11" x14ac:dyDescent="0.25">
      <c r="A755" t="s">
        <v>607</v>
      </c>
      <c r="B755" t="s">
        <v>936</v>
      </c>
      <c r="C755" s="3">
        <v>8322</v>
      </c>
      <c r="D755" s="3">
        <v>3983</v>
      </c>
      <c r="E755" s="3">
        <v>5413</v>
      </c>
      <c r="F755">
        <v>4121</v>
      </c>
      <c r="G755">
        <v>218</v>
      </c>
      <c r="H755">
        <v>37</v>
      </c>
      <c r="I755" t="s">
        <v>939</v>
      </c>
      <c r="J755">
        <v>2</v>
      </c>
      <c r="K755" t="s">
        <v>953</v>
      </c>
    </row>
    <row r="756" spans="1:11" x14ac:dyDescent="0.25">
      <c r="A756" t="s">
        <v>608</v>
      </c>
      <c r="B756" t="s">
        <v>934</v>
      </c>
      <c r="C756" s="3">
        <v>9170</v>
      </c>
      <c r="D756" s="3">
        <v>3641</v>
      </c>
      <c r="E756" s="3">
        <v>4797</v>
      </c>
      <c r="F756">
        <v>4136</v>
      </c>
      <c r="G756">
        <v>1393</v>
      </c>
      <c r="H756">
        <v>58</v>
      </c>
      <c r="I756" t="s">
        <v>942</v>
      </c>
      <c r="J756">
        <v>8</v>
      </c>
      <c r="K756" t="s">
        <v>954</v>
      </c>
    </row>
    <row r="757" spans="1:11" x14ac:dyDescent="0.25">
      <c r="A757" t="s">
        <v>328</v>
      </c>
      <c r="B757" t="s">
        <v>935</v>
      </c>
      <c r="C757" s="3">
        <v>9108</v>
      </c>
      <c r="D757" s="3">
        <v>4762</v>
      </c>
      <c r="E757" s="3">
        <v>6671</v>
      </c>
      <c r="F757">
        <v>4104</v>
      </c>
      <c r="G757">
        <v>242</v>
      </c>
      <c r="H757">
        <v>61</v>
      </c>
      <c r="I757" t="s">
        <v>942</v>
      </c>
      <c r="J757">
        <v>4</v>
      </c>
      <c r="K757" t="s">
        <v>953</v>
      </c>
    </row>
    <row r="758" spans="1:11" x14ac:dyDescent="0.25">
      <c r="A758" t="s">
        <v>609</v>
      </c>
      <c r="B758" t="s">
        <v>936</v>
      </c>
      <c r="C758" s="3">
        <v>6434</v>
      </c>
      <c r="D758" s="3">
        <v>902</v>
      </c>
      <c r="E758" s="3">
        <v>6711</v>
      </c>
      <c r="F758">
        <v>3864</v>
      </c>
      <c r="G758">
        <v>1668</v>
      </c>
      <c r="H758">
        <v>98</v>
      </c>
      <c r="I758" t="s">
        <v>939</v>
      </c>
      <c r="J758">
        <v>9</v>
      </c>
      <c r="K758" t="s">
        <v>947</v>
      </c>
    </row>
    <row r="759" spans="1:11" x14ac:dyDescent="0.25">
      <c r="A759" t="s">
        <v>610</v>
      </c>
      <c r="B759" t="s">
        <v>935</v>
      </c>
      <c r="C759" s="3">
        <v>7533</v>
      </c>
      <c r="D759" s="3">
        <v>4175</v>
      </c>
      <c r="E759" s="3">
        <v>8852</v>
      </c>
      <c r="F759">
        <v>2345</v>
      </c>
      <c r="G759">
        <v>1013</v>
      </c>
      <c r="H759">
        <v>100</v>
      </c>
      <c r="I759" t="s">
        <v>940</v>
      </c>
      <c r="J759">
        <v>1</v>
      </c>
      <c r="K759" t="s">
        <v>946</v>
      </c>
    </row>
    <row r="760" spans="1:11" x14ac:dyDescent="0.25">
      <c r="A760" t="s">
        <v>452</v>
      </c>
      <c r="B760" t="s">
        <v>937</v>
      </c>
      <c r="C760" s="3">
        <v>8211</v>
      </c>
      <c r="D760" s="3">
        <v>3478</v>
      </c>
      <c r="E760" s="3">
        <v>8965</v>
      </c>
      <c r="F760">
        <v>4381</v>
      </c>
      <c r="G760">
        <v>352</v>
      </c>
      <c r="H760">
        <v>73</v>
      </c>
      <c r="I760" t="s">
        <v>938</v>
      </c>
      <c r="J760">
        <v>6</v>
      </c>
      <c r="K760" t="s">
        <v>950</v>
      </c>
    </row>
    <row r="761" spans="1:11" x14ac:dyDescent="0.25">
      <c r="A761" t="s">
        <v>461</v>
      </c>
      <c r="B761" t="s">
        <v>937</v>
      </c>
      <c r="C761" s="3">
        <v>8314</v>
      </c>
      <c r="D761" s="3">
        <v>4386</v>
      </c>
      <c r="E761" s="3">
        <v>4639</v>
      </c>
      <c r="F761">
        <v>2982</v>
      </c>
      <c r="G761">
        <v>946</v>
      </c>
      <c r="H761">
        <v>36</v>
      </c>
      <c r="I761" t="s">
        <v>939</v>
      </c>
      <c r="J761">
        <v>10</v>
      </c>
      <c r="K761" t="s">
        <v>948</v>
      </c>
    </row>
    <row r="762" spans="1:11" x14ac:dyDescent="0.25">
      <c r="A762" t="s">
        <v>247</v>
      </c>
      <c r="B762" t="s">
        <v>937</v>
      </c>
      <c r="C762" s="3">
        <v>7374</v>
      </c>
      <c r="D762" s="3">
        <v>2361</v>
      </c>
      <c r="E762" s="3">
        <v>4872</v>
      </c>
      <c r="F762">
        <v>4230</v>
      </c>
      <c r="G762">
        <v>783</v>
      </c>
      <c r="H762">
        <v>50</v>
      </c>
      <c r="I762" t="s">
        <v>940</v>
      </c>
      <c r="J762">
        <v>5</v>
      </c>
      <c r="K762" t="s">
        <v>948</v>
      </c>
    </row>
    <row r="763" spans="1:11" x14ac:dyDescent="0.25">
      <c r="A763" t="s">
        <v>594</v>
      </c>
      <c r="B763" t="s">
        <v>936</v>
      </c>
      <c r="C763" s="3">
        <v>5283</v>
      </c>
      <c r="D763" s="3">
        <v>2545</v>
      </c>
      <c r="E763" s="3">
        <v>7365</v>
      </c>
      <c r="F763">
        <v>860</v>
      </c>
      <c r="G763">
        <v>1878</v>
      </c>
      <c r="H763">
        <v>55</v>
      </c>
      <c r="I763" t="s">
        <v>941</v>
      </c>
      <c r="J763">
        <v>4</v>
      </c>
      <c r="K763" t="s">
        <v>949</v>
      </c>
    </row>
    <row r="764" spans="1:11" x14ac:dyDescent="0.25">
      <c r="A764" t="s">
        <v>265</v>
      </c>
      <c r="B764" t="s">
        <v>936</v>
      </c>
      <c r="C764" s="3">
        <v>5212</v>
      </c>
      <c r="D764" s="3">
        <v>1960</v>
      </c>
      <c r="E764" s="3">
        <v>9083</v>
      </c>
      <c r="F764">
        <v>1505</v>
      </c>
      <c r="G764">
        <v>1747</v>
      </c>
      <c r="H764">
        <v>12</v>
      </c>
      <c r="I764" t="s">
        <v>941</v>
      </c>
      <c r="J764">
        <v>8</v>
      </c>
      <c r="K764" t="s">
        <v>943</v>
      </c>
    </row>
    <row r="765" spans="1:11" x14ac:dyDescent="0.25">
      <c r="A765" t="s">
        <v>611</v>
      </c>
      <c r="B765" t="s">
        <v>937</v>
      </c>
      <c r="C765" s="3">
        <v>7826</v>
      </c>
      <c r="D765" s="3">
        <v>5132</v>
      </c>
      <c r="E765" s="3">
        <v>9170</v>
      </c>
      <c r="F765">
        <v>1545</v>
      </c>
      <c r="G765">
        <v>1149</v>
      </c>
      <c r="H765">
        <v>14</v>
      </c>
      <c r="I765" t="s">
        <v>938</v>
      </c>
      <c r="J765">
        <v>2</v>
      </c>
      <c r="K765" t="s">
        <v>945</v>
      </c>
    </row>
    <row r="766" spans="1:11" x14ac:dyDescent="0.25">
      <c r="A766" t="s">
        <v>612</v>
      </c>
      <c r="B766" t="s">
        <v>937</v>
      </c>
      <c r="C766" s="3">
        <v>2375</v>
      </c>
      <c r="D766" s="3">
        <v>-1689</v>
      </c>
      <c r="E766" s="3">
        <v>6881</v>
      </c>
      <c r="F766">
        <v>3822</v>
      </c>
      <c r="G766">
        <v>242</v>
      </c>
      <c r="H766">
        <v>108</v>
      </c>
      <c r="I766" t="s">
        <v>942</v>
      </c>
      <c r="J766">
        <v>6</v>
      </c>
      <c r="K766" t="s">
        <v>949</v>
      </c>
    </row>
    <row r="767" spans="1:11" x14ac:dyDescent="0.25">
      <c r="A767" t="s">
        <v>580</v>
      </c>
      <c r="B767" t="s">
        <v>935</v>
      </c>
      <c r="C767" s="3">
        <v>4504</v>
      </c>
      <c r="D767" s="3">
        <v>2192</v>
      </c>
      <c r="E767" s="3">
        <v>9214</v>
      </c>
      <c r="F767">
        <v>1120</v>
      </c>
      <c r="G767">
        <v>1192</v>
      </c>
      <c r="H767">
        <v>31</v>
      </c>
      <c r="I767" t="s">
        <v>940</v>
      </c>
      <c r="J767">
        <v>2</v>
      </c>
      <c r="K767" t="s">
        <v>943</v>
      </c>
    </row>
    <row r="768" spans="1:11" x14ac:dyDescent="0.25">
      <c r="A768" t="s">
        <v>510</v>
      </c>
      <c r="B768" t="s">
        <v>934</v>
      </c>
      <c r="C768" s="3">
        <v>7199</v>
      </c>
      <c r="D768" s="3">
        <v>3887</v>
      </c>
      <c r="E768" s="3">
        <v>5367</v>
      </c>
      <c r="F768">
        <v>2110</v>
      </c>
      <c r="G768">
        <v>1202</v>
      </c>
      <c r="H768">
        <v>46</v>
      </c>
      <c r="I768" t="s">
        <v>941</v>
      </c>
      <c r="J768">
        <v>1</v>
      </c>
      <c r="K768" t="s">
        <v>946</v>
      </c>
    </row>
    <row r="769" spans="1:11" x14ac:dyDescent="0.25">
      <c r="A769" t="s">
        <v>179</v>
      </c>
      <c r="B769" t="s">
        <v>934</v>
      </c>
      <c r="C769" s="3">
        <v>9110</v>
      </c>
      <c r="D769" s="3">
        <v>6699</v>
      </c>
      <c r="E769" s="3">
        <v>4774</v>
      </c>
      <c r="F769">
        <v>843</v>
      </c>
      <c r="G769">
        <v>1568</v>
      </c>
      <c r="H769">
        <v>35</v>
      </c>
      <c r="I769" t="s">
        <v>942</v>
      </c>
      <c r="J769">
        <v>1</v>
      </c>
      <c r="K769" t="s">
        <v>944</v>
      </c>
    </row>
    <row r="770" spans="1:11" x14ac:dyDescent="0.25">
      <c r="A770" t="s">
        <v>613</v>
      </c>
      <c r="B770" t="s">
        <v>934</v>
      </c>
      <c r="C770" s="3">
        <v>6953</v>
      </c>
      <c r="D770" s="3">
        <v>3044</v>
      </c>
      <c r="E770" s="3">
        <v>8621</v>
      </c>
      <c r="F770">
        <v>3653</v>
      </c>
      <c r="G770">
        <v>256</v>
      </c>
      <c r="H770">
        <v>107</v>
      </c>
      <c r="I770" t="s">
        <v>938</v>
      </c>
      <c r="J770">
        <v>4</v>
      </c>
      <c r="K770" t="s">
        <v>945</v>
      </c>
    </row>
    <row r="771" spans="1:11" x14ac:dyDescent="0.25">
      <c r="A771" t="s">
        <v>614</v>
      </c>
      <c r="B771" t="s">
        <v>934</v>
      </c>
      <c r="C771" s="3">
        <v>3896</v>
      </c>
      <c r="D771" s="3">
        <v>1715</v>
      </c>
      <c r="E771" s="3">
        <v>9219</v>
      </c>
      <c r="F771">
        <v>1716</v>
      </c>
      <c r="G771">
        <v>465</v>
      </c>
      <c r="H771">
        <v>30</v>
      </c>
      <c r="I771" t="s">
        <v>941</v>
      </c>
      <c r="J771">
        <v>8</v>
      </c>
      <c r="K771" t="s">
        <v>945</v>
      </c>
    </row>
    <row r="772" spans="1:11" x14ac:dyDescent="0.25">
      <c r="A772" t="s">
        <v>615</v>
      </c>
      <c r="B772" t="s">
        <v>934</v>
      </c>
      <c r="C772" s="3">
        <v>2999</v>
      </c>
      <c r="D772" s="3">
        <v>124</v>
      </c>
      <c r="E772" s="3">
        <v>5529</v>
      </c>
      <c r="F772">
        <v>889</v>
      </c>
      <c r="G772">
        <v>1986</v>
      </c>
      <c r="H772">
        <v>79</v>
      </c>
      <c r="I772" t="s">
        <v>939</v>
      </c>
      <c r="J772">
        <v>6</v>
      </c>
      <c r="K772" t="s">
        <v>949</v>
      </c>
    </row>
    <row r="773" spans="1:11" x14ac:dyDescent="0.25">
      <c r="A773" t="s">
        <v>616</v>
      </c>
      <c r="B773" t="s">
        <v>935</v>
      </c>
      <c r="C773" s="3">
        <v>9190</v>
      </c>
      <c r="D773" s="3">
        <v>6079</v>
      </c>
      <c r="E773" s="3">
        <v>9170</v>
      </c>
      <c r="F773">
        <v>2320</v>
      </c>
      <c r="G773">
        <v>791</v>
      </c>
      <c r="H773">
        <v>42</v>
      </c>
      <c r="I773" t="s">
        <v>938</v>
      </c>
      <c r="J773">
        <v>1</v>
      </c>
      <c r="K773" t="s">
        <v>951</v>
      </c>
    </row>
    <row r="774" spans="1:11" x14ac:dyDescent="0.25">
      <c r="A774" t="s">
        <v>617</v>
      </c>
      <c r="B774" t="s">
        <v>935</v>
      </c>
      <c r="C774" s="3">
        <v>5421</v>
      </c>
      <c r="D774" s="3">
        <v>4029</v>
      </c>
      <c r="E774" s="3">
        <v>8230</v>
      </c>
      <c r="F774">
        <v>1006</v>
      </c>
      <c r="G774">
        <v>386</v>
      </c>
      <c r="H774">
        <v>72</v>
      </c>
      <c r="I774" t="s">
        <v>942</v>
      </c>
      <c r="J774">
        <v>5</v>
      </c>
      <c r="K774" t="s">
        <v>952</v>
      </c>
    </row>
    <row r="775" spans="1:11" x14ac:dyDescent="0.25">
      <c r="A775" t="s">
        <v>618</v>
      </c>
      <c r="B775" t="s">
        <v>936</v>
      </c>
      <c r="C775" s="3">
        <v>3107</v>
      </c>
      <c r="D775" s="3">
        <v>-2105</v>
      </c>
      <c r="E775" s="3">
        <v>6010</v>
      </c>
      <c r="F775">
        <v>4865</v>
      </c>
      <c r="G775">
        <v>347</v>
      </c>
      <c r="H775">
        <v>21</v>
      </c>
      <c r="I775" t="s">
        <v>941</v>
      </c>
      <c r="J775">
        <v>2</v>
      </c>
      <c r="K775" t="s">
        <v>947</v>
      </c>
    </row>
    <row r="776" spans="1:11" x14ac:dyDescent="0.25">
      <c r="A776" t="s">
        <v>619</v>
      </c>
      <c r="B776" t="s">
        <v>934</v>
      </c>
      <c r="C776" s="3">
        <v>2456</v>
      </c>
      <c r="D776" s="3">
        <v>-2800</v>
      </c>
      <c r="E776" s="3">
        <v>9605</v>
      </c>
      <c r="F776">
        <v>4005</v>
      </c>
      <c r="G776">
        <v>1251</v>
      </c>
      <c r="H776">
        <v>79</v>
      </c>
      <c r="I776" t="s">
        <v>940</v>
      </c>
      <c r="J776">
        <v>4</v>
      </c>
      <c r="K776" t="s">
        <v>952</v>
      </c>
    </row>
    <row r="777" spans="1:11" x14ac:dyDescent="0.25">
      <c r="A777" t="s">
        <v>54</v>
      </c>
      <c r="B777" t="s">
        <v>936</v>
      </c>
      <c r="C777" s="3">
        <v>3203</v>
      </c>
      <c r="D777" s="3">
        <v>921</v>
      </c>
      <c r="E777" s="3">
        <v>7535</v>
      </c>
      <c r="F777">
        <v>1178</v>
      </c>
      <c r="G777">
        <v>1104</v>
      </c>
      <c r="H777">
        <v>40</v>
      </c>
      <c r="I777" t="s">
        <v>942</v>
      </c>
      <c r="J777">
        <v>6</v>
      </c>
      <c r="K777" t="s">
        <v>944</v>
      </c>
    </row>
    <row r="778" spans="1:11" x14ac:dyDescent="0.25">
      <c r="A778" t="s">
        <v>536</v>
      </c>
      <c r="B778" t="s">
        <v>936</v>
      </c>
      <c r="C778" s="3">
        <v>6018</v>
      </c>
      <c r="D778" s="3">
        <v>3555</v>
      </c>
      <c r="E778" s="3">
        <v>9213</v>
      </c>
      <c r="F778">
        <v>1602</v>
      </c>
      <c r="G778">
        <v>861</v>
      </c>
      <c r="H778">
        <v>57</v>
      </c>
      <c r="I778" t="s">
        <v>942</v>
      </c>
      <c r="J778">
        <v>6</v>
      </c>
      <c r="K778" t="s">
        <v>953</v>
      </c>
    </row>
    <row r="779" spans="1:11" x14ac:dyDescent="0.25">
      <c r="A779" t="s">
        <v>620</v>
      </c>
      <c r="B779" t="s">
        <v>934</v>
      </c>
      <c r="C779" s="3">
        <v>5107</v>
      </c>
      <c r="D779" s="3">
        <v>2969</v>
      </c>
      <c r="E779" s="3">
        <v>8709</v>
      </c>
      <c r="F779">
        <v>953</v>
      </c>
      <c r="G779">
        <v>1185</v>
      </c>
      <c r="H779">
        <v>16</v>
      </c>
      <c r="I779" t="s">
        <v>938</v>
      </c>
      <c r="J779">
        <v>6</v>
      </c>
      <c r="K779" t="s">
        <v>948</v>
      </c>
    </row>
    <row r="780" spans="1:11" x14ac:dyDescent="0.25">
      <c r="A780" t="s">
        <v>621</v>
      </c>
      <c r="B780" t="s">
        <v>937</v>
      </c>
      <c r="C780" s="3">
        <v>4135</v>
      </c>
      <c r="D780" s="3">
        <v>1619</v>
      </c>
      <c r="E780" s="3">
        <v>7241</v>
      </c>
      <c r="F780">
        <v>1741</v>
      </c>
      <c r="G780">
        <v>775</v>
      </c>
      <c r="H780">
        <v>100</v>
      </c>
      <c r="I780" t="s">
        <v>941</v>
      </c>
      <c r="J780">
        <v>1</v>
      </c>
      <c r="K780" t="s">
        <v>948</v>
      </c>
    </row>
    <row r="781" spans="1:11" x14ac:dyDescent="0.25">
      <c r="A781" t="s">
        <v>415</v>
      </c>
      <c r="B781" t="s">
        <v>934</v>
      </c>
      <c r="C781" s="3">
        <v>7147</v>
      </c>
      <c r="D781" s="3">
        <v>2916</v>
      </c>
      <c r="E781" s="3">
        <v>5542</v>
      </c>
      <c r="F781">
        <v>3789</v>
      </c>
      <c r="G781">
        <v>442</v>
      </c>
      <c r="H781">
        <v>102</v>
      </c>
      <c r="I781" t="s">
        <v>938</v>
      </c>
      <c r="J781">
        <v>9</v>
      </c>
      <c r="K781" t="s">
        <v>949</v>
      </c>
    </row>
    <row r="782" spans="1:11" x14ac:dyDescent="0.25">
      <c r="A782" t="s">
        <v>622</v>
      </c>
      <c r="B782" t="s">
        <v>937</v>
      </c>
      <c r="C782" s="3">
        <v>7934</v>
      </c>
      <c r="D782" s="3">
        <v>5000</v>
      </c>
      <c r="E782" s="3">
        <v>4316</v>
      </c>
      <c r="F782">
        <v>2439</v>
      </c>
      <c r="G782">
        <v>495</v>
      </c>
      <c r="H782">
        <v>83</v>
      </c>
      <c r="I782" t="s">
        <v>940</v>
      </c>
      <c r="J782">
        <v>3</v>
      </c>
      <c r="K782" t="s">
        <v>949</v>
      </c>
    </row>
    <row r="783" spans="1:11" x14ac:dyDescent="0.25">
      <c r="A783" t="s">
        <v>623</v>
      </c>
      <c r="B783" t="s">
        <v>936</v>
      </c>
      <c r="C783" s="3">
        <v>4501</v>
      </c>
      <c r="D783" s="3">
        <v>1312</v>
      </c>
      <c r="E783" s="3">
        <v>6802</v>
      </c>
      <c r="F783">
        <v>1896</v>
      </c>
      <c r="G783">
        <v>1293</v>
      </c>
      <c r="H783">
        <v>59</v>
      </c>
      <c r="I783" t="s">
        <v>938</v>
      </c>
      <c r="J783">
        <v>3</v>
      </c>
      <c r="K783" t="s">
        <v>954</v>
      </c>
    </row>
    <row r="784" spans="1:11" x14ac:dyDescent="0.25">
      <c r="A784" t="s">
        <v>174</v>
      </c>
      <c r="B784" t="s">
        <v>936</v>
      </c>
      <c r="C784" s="3">
        <v>5768</v>
      </c>
      <c r="D784" s="3">
        <v>1523</v>
      </c>
      <c r="E784" s="3">
        <v>6595</v>
      </c>
      <c r="F784">
        <v>3833</v>
      </c>
      <c r="G784">
        <v>412</v>
      </c>
      <c r="H784">
        <v>67</v>
      </c>
      <c r="I784" t="s">
        <v>941</v>
      </c>
      <c r="J784">
        <v>4</v>
      </c>
      <c r="K784" t="s">
        <v>954</v>
      </c>
    </row>
    <row r="785" spans="1:11" x14ac:dyDescent="0.25">
      <c r="A785" t="s">
        <v>624</v>
      </c>
      <c r="B785" t="s">
        <v>936</v>
      </c>
      <c r="C785" s="3">
        <v>5136</v>
      </c>
      <c r="D785" s="3">
        <v>-647</v>
      </c>
      <c r="E785" s="3">
        <v>9384</v>
      </c>
      <c r="F785">
        <v>4239</v>
      </c>
      <c r="G785">
        <v>1544</v>
      </c>
      <c r="H785">
        <v>25</v>
      </c>
      <c r="I785" t="s">
        <v>942</v>
      </c>
      <c r="J785">
        <v>2</v>
      </c>
      <c r="K785" t="s">
        <v>943</v>
      </c>
    </row>
    <row r="786" spans="1:11" x14ac:dyDescent="0.25">
      <c r="A786" t="s">
        <v>625</v>
      </c>
      <c r="B786" t="s">
        <v>937</v>
      </c>
      <c r="C786" s="3">
        <v>6834</v>
      </c>
      <c r="D786" s="3">
        <v>3093</v>
      </c>
      <c r="E786" s="3">
        <v>4790</v>
      </c>
      <c r="F786">
        <v>2501</v>
      </c>
      <c r="G786">
        <v>1240</v>
      </c>
      <c r="H786">
        <v>16</v>
      </c>
      <c r="I786" t="s">
        <v>942</v>
      </c>
      <c r="J786">
        <v>3</v>
      </c>
      <c r="K786" t="s">
        <v>950</v>
      </c>
    </row>
    <row r="787" spans="1:11" x14ac:dyDescent="0.25">
      <c r="A787" t="s">
        <v>626</v>
      </c>
      <c r="B787" t="s">
        <v>936</v>
      </c>
      <c r="C787" s="3">
        <v>2770</v>
      </c>
      <c r="D787" s="3">
        <v>-877</v>
      </c>
      <c r="E787" s="3">
        <v>9403</v>
      </c>
      <c r="F787">
        <v>2145</v>
      </c>
      <c r="G787">
        <v>1502</v>
      </c>
      <c r="H787">
        <v>19</v>
      </c>
      <c r="I787" t="s">
        <v>940</v>
      </c>
      <c r="J787">
        <v>5</v>
      </c>
      <c r="K787" t="s">
        <v>948</v>
      </c>
    </row>
    <row r="788" spans="1:11" x14ac:dyDescent="0.25">
      <c r="A788" t="s">
        <v>627</v>
      </c>
      <c r="B788" t="s">
        <v>935</v>
      </c>
      <c r="C788" s="3">
        <v>10250</v>
      </c>
      <c r="D788" s="3">
        <v>8352</v>
      </c>
      <c r="E788" s="3">
        <v>9143</v>
      </c>
      <c r="F788">
        <v>976</v>
      </c>
      <c r="G788">
        <v>922</v>
      </c>
      <c r="H788">
        <v>85</v>
      </c>
      <c r="I788" t="s">
        <v>942</v>
      </c>
      <c r="J788">
        <v>4</v>
      </c>
      <c r="K788" t="s">
        <v>949</v>
      </c>
    </row>
    <row r="789" spans="1:11" x14ac:dyDescent="0.25">
      <c r="A789" t="s">
        <v>225</v>
      </c>
      <c r="B789" t="s">
        <v>935</v>
      </c>
      <c r="C789" s="3">
        <v>3330</v>
      </c>
      <c r="D789" s="3">
        <v>-2633</v>
      </c>
      <c r="E789" s="3">
        <v>5854</v>
      </c>
      <c r="F789">
        <v>3964</v>
      </c>
      <c r="G789">
        <v>1999</v>
      </c>
      <c r="H789">
        <v>45</v>
      </c>
      <c r="I789" t="s">
        <v>939</v>
      </c>
      <c r="J789">
        <v>3</v>
      </c>
      <c r="K789" t="s">
        <v>952</v>
      </c>
    </row>
    <row r="790" spans="1:11" x14ac:dyDescent="0.25">
      <c r="A790" t="s">
        <v>628</v>
      </c>
      <c r="B790" t="s">
        <v>936</v>
      </c>
      <c r="C790" s="3">
        <v>4883</v>
      </c>
      <c r="D790" s="3">
        <v>-1264</v>
      </c>
      <c r="E790" s="3">
        <v>8065</v>
      </c>
      <c r="F790">
        <v>4891</v>
      </c>
      <c r="G790">
        <v>1256</v>
      </c>
      <c r="H790">
        <v>12</v>
      </c>
      <c r="I790" t="s">
        <v>941</v>
      </c>
      <c r="J790">
        <v>6</v>
      </c>
      <c r="K790" t="s">
        <v>947</v>
      </c>
    </row>
    <row r="791" spans="1:11" x14ac:dyDescent="0.25">
      <c r="A791" t="s">
        <v>623</v>
      </c>
      <c r="B791" t="s">
        <v>936</v>
      </c>
      <c r="C791" s="3">
        <v>5387</v>
      </c>
      <c r="D791" s="3">
        <v>878</v>
      </c>
      <c r="E791" s="3">
        <v>4380</v>
      </c>
      <c r="F791">
        <v>3996</v>
      </c>
      <c r="G791">
        <v>513</v>
      </c>
      <c r="H791">
        <v>85</v>
      </c>
      <c r="I791" t="s">
        <v>938</v>
      </c>
      <c r="J791">
        <v>3</v>
      </c>
      <c r="K791" t="s">
        <v>954</v>
      </c>
    </row>
    <row r="792" spans="1:11" x14ac:dyDescent="0.25">
      <c r="A792" t="s">
        <v>258</v>
      </c>
      <c r="B792" t="s">
        <v>935</v>
      </c>
      <c r="C792" s="3">
        <v>3239</v>
      </c>
      <c r="D792" s="3">
        <v>-2880</v>
      </c>
      <c r="E792" s="3">
        <v>9346</v>
      </c>
      <c r="F792">
        <v>4349</v>
      </c>
      <c r="G792">
        <v>1770</v>
      </c>
      <c r="H792">
        <v>61</v>
      </c>
      <c r="I792" t="s">
        <v>941</v>
      </c>
      <c r="J792">
        <v>8</v>
      </c>
      <c r="K792" t="s">
        <v>953</v>
      </c>
    </row>
    <row r="793" spans="1:11" x14ac:dyDescent="0.25">
      <c r="A793" t="s">
        <v>352</v>
      </c>
      <c r="B793" t="s">
        <v>937</v>
      </c>
      <c r="C793" s="3">
        <v>8983</v>
      </c>
      <c r="D793" s="3">
        <v>5438</v>
      </c>
      <c r="E793" s="3">
        <v>6348</v>
      </c>
      <c r="F793">
        <v>2907</v>
      </c>
      <c r="G793">
        <v>638</v>
      </c>
      <c r="H793">
        <v>96</v>
      </c>
      <c r="I793" t="s">
        <v>941</v>
      </c>
      <c r="J793">
        <v>4</v>
      </c>
      <c r="K793" t="s">
        <v>950</v>
      </c>
    </row>
    <row r="794" spans="1:11" x14ac:dyDescent="0.25">
      <c r="A794" t="s">
        <v>629</v>
      </c>
      <c r="B794" t="s">
        <v>936</v>
      </c>
      <c r="C794" s="3">
        <v>4427</v>
      </c>
      <c r="D794" s="3">
        <v>473</v>
      </c>
      <c r="E794" s="3">
        <v>6376</v>
      </c>
      <c r="F794">
        <v>3503</v>
      </c>
      <c r="G794">
        <v>451</v>
      </c>
      <c r="H794">
        <v>103</v>
      </c>
      <c r="I794" t="s">
        <v>940</v>
      </c>
      <c r="J794">
        <v>7</v>
      </c>
      <c r="K794" t="s">
        <v>950</v>
      </c>
    </row>
    <row r="795" spans="1:11" x14ac:dyDescent="0.25">
      <c r="A795" t="s">
        <v>630</v>
      </c>
      <c r="B795" t="s">
        <v>935</v>
      </c>
      <c r="C795" s="3">
        <v>2814</v>
      </c>
      <c r="D795" s="3">
        <v>-3494</v>
      </c>
      <c r="E795" s="3">
        <v>8896</v>
      </c>
      <c r="F795">
        <v>4695</v>
      </c>
      <c r="G795">
        <v>1613</v>
      </c>
      <c r="H795">
        <v>46</v>
      </c>
      <c r="I795" t="s">
        <v>942</v>
      </c>
      <c r="J795">
        <v>6</v>
      </c>
      <c r="K795" t="s">
        <v>947</v>
      </c>
    </row>
    <row r="796" spans="1:11" x14ac:dyDescent="0.25">
      <c r="A796" t="s">
        <v>625</v>
      </c>
      <c r="B796" t="s">
        <v>935</v>
      </c>
      <c r="C796" s="3">
        <v>7018</v>
      </c>
      <c r="D796" s="3">
        <v>5258</v>
      </c>
      <c r="E796" s="3">
        <v>9738</v>
      </c>
      <c r="F796">
        <v>815</v>
      </c>
      <c r="G796">
        <v>945</v>
      </c>
      <c r="H796">
        <v>38</v>
      </c>
      <c r="I796" t="s">
        <v>938</v>
      </c>
      <c r="J796">
        <v>3</v>
      </c>
      <c r="K796" t="s">
        <v>950</v>
      </c>
    </row>
    <row r="797" spans="1:11" x14ac:dyDescent="0.25">
      <c r="A797" t="s">
        <v>142</v>
      </c>
      <c r="B797" t="s">
        <v>936</v>
      </c>
      <c r="C797" s="3">
        <v>6911</v>
      </c>
      <c r="D797" s="3">
        <v>1400</v>
      </c>
      <c r="E797" s="3">
        <v>5404</v>
      </c>
      <c r="F797">
        <v>3679</v>
      </c>
      <c r="G797">
        <v>1832</v>
      </c>
      <c r="H797">
        <v>16</v>
      </c>
      <c r="I797" t="s">
        <v>939</v>
      </c>
      <c r="J797">
        <v>8</v>
      </c>
      <c r="K797" t="s">
        <v>952</v>
      </c>
    </row>
    <row r="798" spans="1:11" x14ac:dyDescent="0.25">
      <c r="A798" t="s">
        <v>230</v>
      </c>
      <c r="B798" t="s">
        <v>934</v>
      </c>
      <c r="C798" s="3">
        <v>8176</v>
      </c>
      <c r="D798" s="3">
        <v>4572</v>
      </c>
      <c r="E798" s="3">
        <v>9736</v>
      </c>
      <c r="F798">
        <v>1857</v>
      </c>
      <c r="G798">
        <v>1747</v>
      </c>
      <c r="H798">
        <v>51</v>
      </c>
      <c r="I798" t="s">
        <v>938</v>
      </c>
      <c r="J798">
        <v>8</v>
      </c>
      <c r="K798" t="s">
        <v>948</v>
      </c>
    </row>
    <row r="799" spans="1:11" x14ac:dyDescent="0.25">
      <c r="A799" t="s">
        <v>631</v>
      </c>
      <c r="B799" t="s">
        <v>935</v>
      </c>
      <c r="C799" s="3">
        <v>8659</v>
      </c>
      <c r="D799" s="3">
        <v>6185</v>
      </c>
      <c r="E799" s="3">
        <v>8032</v>
      </c>
      <c r="F799">
        <v>927</v>
      </c>
      <c r="G799">
        <v>1547</v>
      </c>
      <c r="H799">
        <v>30</v>
      </c>
      <c r="I799" t="s">
        <v>942</v>
      </c>
      <c r="J799">
        <v>2</v>
      </c>
      <c r="K799" t="s">
        <v>945</v>
      </c>
    </row>
    <row r="800" spans="1:11" x14ac:dyDescent="0.25">
      <c r="A800" t="s">
        <v>118</v>
      </c>
      <c r="B800" t="s">
        <v>935</v>
      </c>
      <c r="C800" s="3">
        <v>7256</v>
      </c>
      <c r="D800" s="3">
        <v>2637</v>
      </c>
      <c r="E800" s="3">
        <v>9658</v>
      </c>
      <c r="F800">
        <v>3953</v>
      </c>
      <c r="G800">
        <v>666</v>
      </c>
      <c r="H800">
        <v>38</v>
      </c>
      <c r="I800" t="s">
        <v>941</v>
      </c>
      <c r="J800">
        <v>8</v>
      </c>
      <c r="K800" t="s">
        <v>943</v>
      </c>
    </row>
    <row r="801" spans="1:11" x14ac:dyDescent="0.25">
      <c r="A801" t="s">
        <v>632</v>
      </c>
      <c r="B801" t="s">
        <v>937</v>
      </c>
      <c r="C801" s="3">
        <v>10900</v>
      </c>
      <c r="D801" s="3">
        <v>6355</v>
      </c>
      <c r="E801" s="3">
        <v>6651</v>
      </c>
      <c r="F801">
        <v>3133</v>
      </c>
      <c r="G801">
        <v>1412</v>
      </c>
      <c r="H801">
        <v>17</v>
      </c>
      <c r="I801" t="s">
        <v>938</v>
      </c>
      <c r="J801">
        <v>7</v>
      </c>
      <c r="K801" t="s">
        <v>945</v>
      </c>
    </row>
    <row r="802" spans="1:11" x14ac:dyDescent="0.25">
      <c r="A802" t="s">
        <v>633</v>
      </c>
      <c r="B802" t="s">
        <v>936</v>
      </c>
      <c r="C802" s="3">
        <v>11708</v>
      </c>
      <c r="D802" s="3">
        <v>8440</v>
      </c>
      <c r="E802" s="3">
        <v>4517</v>
      </c>
      <c r="F802">
        <v>1312</v>
      </c>
      <c r="G802">
        <v>1956</v>
      </c>
      <c r="H802">
        <v>100</v>
      </c>
      <c r="I802" t="s">
        <v>941</v>
      </c>
      <c r="J802">
        <v>7</v>
      </c>
      <c r="K802" t="s">
        <v>950</v>
      </c>
    </row>
    <row r="803" spans="1:11" x14ac:dyDescent="0.25">
      <c r="A803" t="s">
        <v>634</v>
      </c>
      <c r="B803" t="s">
        <v>936</v>
      </c>
      <c r="C803" s="3">
        <v>6477</v>
      </c>
      <c r="D803" s="3">
        <v>622</v>
      </c>
      <c r="E803" s="3">
        <v>8896</v>
      </c>
      <c r="F803">
        <v>4166</v>
      </c>
      <c r="G803">
        <v>1689</v>
      </c>
      <c r="H803">
        <v>90</v>
      </c>
      <c r="I803" t="s">
        <v>939</v>
      </c>
      <c r="J803">
        <v>9</v>
      </c>
      <c r="K803" t="s">
        <v>950</v>
      </c>
    </row>
    <row r="804" spans="1:11" x14ac:dyDescent="0.25">
      <c r="A804" t="s">
        <v>635</v>
      </c>
      <c r="B804" t="s">
        <v>934</v>
      </c>
      <c r="C804" s="3">
        <v>2512</v>
      </c>
      <c r="D804" s="3">
        <v>-2110</v>
      </c>
      <c r="E804" s="3">
        <v>8292</v>
      </c>
      <c r="F804">
        <v>3314</v>
      </c>
      <c r="G804">
        <v>1308</v>
      </c>
      <c r="H804">
        <v>14</v>
      </c>
      <c r="I804" t="s">
        <v>941</v>
      </c>
      <c r="J804">
        <v>6</v>
      </c>
      <c r="K804" t="s">
        <v>945</v>
      </c>
    </row>
    <row r="805" spans="1:11" x14ac:dyDescent="0.25">
      <c r="A805" t="s">
        <v>125</v>
      </c>
      <c r="B805" t="s">
        <v>936</v>
      </c>
      <c r="C805" s="3">
        <v>10287</v>
      </c>
      <c r="D805" s="3">
        <v>5521</v>
      </c>
      <c r="E805" s="3">
        <v>7405</v>
      </c>
      <c r="F805">
        <v>2926</v>
      </c>
      <c r="G805">
        <v>1840</v>
      </c>
      <c r="H805">
        <v>56</v>
      </c>
      <c r="I805" t="s">
        <v>942</v>
      </c>
      <c r="J805">
        <v>3</v>
      </c>
      <c r="K805" t="s">
        <v>954</v>
      </c>
    </row>
    <row r="806" spans="1:11" x14ac:dyDescent="0.25">
      <c r="A806" t="s">
        <v>310</v>
      </c>
      <c r="B806" t="s">
        <v>935</v>
      </c>
      <c r="C806" s="3">
        <v>5824</v>
      </c>
      <c r="D806" s="3">
        <v>2988</v>
      </c>
      <c r="E806" s="3">
        <v>6665</v>
      </c>
      <c r="F806">
        <v>990</v>
      </c>
      <c r="G806">
        <v>1846</v>
      </c>
      <c r="H806">
        <v>109</v>
      </c>
      <c r="I806" t="s">
        <v>940</v>
      </c>
      <c r="J806">
        <v>4</v>
      </c>
      <c r="K806" t="s">
        <v>949</v>
      </c>
    </row>
    <row r="807" spans="1:11" x14ac:dyDescent="0.25">
      <c r="A807" t="s">
        <v>338</v>
      </c>
      <c r="B807" t="s">
        <v>935</v>
      </c>
      <c r="C807" s="3">
        <v>7382</v>
      </c>
      <c r="D807" s="3">
        <v>1117</v>
      </c>
      <c r="E807" s="3">
        <v>7913</v>
      </c>
      <c r="F807">
        <v>4387</v>
      </c>
      <c r="G807">
        <v>1878</v>
      </c>
      <c r="H807">
        <v>21</v>
      </c>
      <c r="I807" t="s">
        <v>938</v>
      </c>
      <c r="J807">
        <v>10</v>
      </c>
      <c r="K807" t="s">
        <v>948</v>
      </c>
    </row>
    <row r="808" spans="1:11" x14ac:dyDescent="0.25">
      <c r="A808" t="s">
        <v>636</v>
      </c>
      <c r="B808" t="s">
        <v>937</v>
      </c>
      <c r="C808" s="3">
        <v>9394</v>
      </c>
      <c r="D808" s="3">
        <v>5699</v>
      </c>
      <c r="E808" s="3">
        <v>6272</v>
      </c>
      <c r="F808">
        <v>3161</v>
      </c>
      <c r="G808">
        <v>534</v>
      </c>
      <c r="H808">
        <v>76</v>
      </c>
      <c r="I808" t="s">
        <v>941</v>
      </c>
      <c r="J808">
        <v>9</v>
      </c>
      <c r="K808" t="s">
        <v>948</v>
      </c>
    </row>
    <row r="809" spans="1:11" x14ac:dyDescent="0.25">
      <c r="A809" t="s">
        <v>368</v>
      </c>
      <c r="B809" t="s">
        <v>936</v>
      </c>
      <c r="C809" s="3">
        <v>6580</v>
      </c>
      <c r="D809" s="3">
        <v>3187</v>
      </c>
      <c r="E809" s="3">
        <v>6866</v>
      </c>
      <c r="F809">
        <v>2715</v>
      </c>
      <c r="G809">
        <v>678</v>
      </c>
      <c r="H809">
        <v>40</v>
      </c>
      <c r="I809" t="s">
        <v>942</v>
      </c>
      <c r="J809">
        <v>6</v>
      </c>
      <c r="K809" t="s">
        <v>946</v>
      </c>
    </row>
    <row r="810" spans="1:11" x14ac:dyDescent="0.25">
      <c r="A810" t="s">
        <v>20</v>
      </c>
      <c r="B810" t="s">
        <v>934</v>
      </c>
      <c r="C810" s="3">
        <v>7690</v>
      </c>
      <c r="D810" s="3">
        <v>6288</v>
      </c>
      <c r="E810" s="3">
        <v>8393</v>
      </c>
      <c r="F810">
        <v>930</v>
      </c>
      <c r="G810">
        <v>472</v>
      </c>
      <c r="H810">
        <v>33</v>
      </c>
      <c r="I810" t="s">
        <v>940</v>
      </c>
      <c r="J810">
        <v>5</v>
      </c>
      <c r="K810" t="s">
        <v>950</v>
      </c>
    </row>
    <row r="811" spans="1:11" x14ac:dyDescent="0.25">
      <c r="A811" t="s">
        <v>637</v>
      </c>
      <c r="B811" t="s">
        <v>937</v>
      </c>
      <c r="C811" s="3">
        <v>8093</v>
      </c>
      <c r="D811" s="3">
        <v>4168</v>
      </c>
      <c r="E811" s="3">
        <v>7953</v>
      </c>
      <c r="F811">
        <v>2768</v>
      </c>
      <c r="G811">
        <v>1157</v>
      </c>
      <c r="H811">
        <v>75</v>
      </c>
      <c r="I811" t="s">
        <v>938</v>
      </c>
      <c r="J811">
        <v>5</v>
      </c>
      <c r="K811" t="s">
        <v>953</v>
      </c>
    </row>
    <row r="812" spans="1:11" x14ac:dyDescent="0.25">
      <c r="A812" t="s">
        <v>638</v>
      </c>
      <c r="B812" t="s">
        <v>935</v>
      </c>
      <c r="C812" s="3">
        <v>8403</v>
      </c>
      <c r="D812" s="3">
        <v>4920</v>
      </c>
      <c r="E812" s="3">
        <v>6509</v>
      </c>
      <c r="F812">
        <v>2639</v>
      </c>
      <c r="G812">
        <v>844</v>
      </c>
      <c r="H812">
        <v>54</v>
      </c>
      <c r="I812" t="s">
        <v>941</v>
      </c>
      <c r="J812">
        <v>7</v>
      </c>
      <c r="K812" t="s">
        <v>947</v>
      </c>
    </row>
    <row r="813" spans="1:11" x14ac:dyDescent="0.25">
      <c r="A813" t="s">
        <v>613</v>
      </c>
      <c r="B813" t="s">
        <v>934</v>
      </c>
      <c r="C813" s="3">
        <v>2855</v>
      </c>
      <c r="D813" s="3">
        <v>-1065</v>
      </c>
      <c r="E813" s="3">
        <v>4877</v>
      </c>
      <c r="F813">
        <v>2730</v>
      </c>
      <c r="G813">
        <v>1190</v>
      </c>
      <c r="H813">
        <v>90</v>
      </c>
      <c r="I813" t="s">
        <v>939</v>
      </c>
      <c r="J813">
        <v>2</v>
      </c>
      <c r="K813" t="s">
        <v>945</v>
      </c>
    </row>
    <row r="814" spans="1:11" x14ac:dyDescent="0.25">
      <c r="A814" t="s">
        <v>157</v>
      </c>
      <c r="B814" t="s">
        <v>934</v>
      </c>
      <c r="C814" s="3">
        <v>3113</v>
      </c>
      <c r="D814" s="3">
        <v>661</v>
      </c>
      <c r="E814" s="3">
        <v>4684</v>
      </c>
      <c r="F814">
        <v>1113</v>
      </c>
      <c r="G814">
        <v>1339</v>
      </c>
      <c r="H814">
        <v>37</v>
      </c>
      <c r="I814" t="s">
        <v>941</v>
      </c>
      <c r="J814">
        <v>1</v>
      </c>
      <c r="K814" t="s">
        <v>944</v>
      </c>
    </row>
    <row r="815" spans="1:11" x14ac:dyDescent="0.25">
      <c r="A815" t="s">
        <v>639</v>
      </c>
      <c r="B815" t="s">
        <v>934</v>
      </c>
      <c r="C815" s="3">
        <v>10220</v>
      </c>
      <c r="D815" s="3">
        <v>4788</v>
      </c>
      <c r="E815" s="3">
        <v>4338</v>
      </c>
      <c r="F815">
        <v>3783</v>
      </c>
      <c r="G815">
        <v>1649</v>
      </c>
      <c r="H815">
        <v>107</v>
      </c>
      <c r="I815" t="s">
        <v>939</v>
      </c>
      <c r="J815">
        <v>2</v>
      </c>
      <c r="K815" t="s">
        <v>951</v>
      </c>
    </row>
    <row r="816" spans="1:11" x14ac:dyDescent="0.25">
      <c r="A816" t="s">
        <v>170</v>
      </c>
      <c r="B816" t="s">
        <v>937</v>
      </c>
      <c r="C816" s="3">
        <v>8096</v>
      </c>
      <c r="D816" s="3">
        <v>3512</v>
      </c>
      <c r="E816" s="3">
        <v>5892</v>
      </c>
      <c r="F816">
        <v>3431</v>
      </c>
      <c r="G816">
        <v>1153</v>
      </c>
      <c r="H816">
        <v>105</v>
      </c>
      <c r="I816" t="s">
        <v>938</v>
      </c>
      <c r="J816">
        <v>6</v>
      </c>
      <c r="K816" t="s">
        <v>947</v>
      </c>
    </row>
    <row r="817" spans="1:11" x14ac:dyDescent="0.25">
      <c r="A817" t="s">
        <v>545</v>
      </c>
      <c r="B817" t="s">
        <v>936</v>
      </c>
      <c r="C817" s="3">
        <v>4417</v>
      </c>
      <c r="D817" s="3">
        <v>-355</v>
      </c>
      <c r="E817" s="3">
        <v>6474</v>
      </c>
      <c r="F817">
        <v>3791</v>
      </c>
      <c r="G817">
        <v>981</v>
      </c>
      <c r="H817">
        <v>83</v>
      </c>
      <c r="I817" t="s">
        <v>939</v>
      </c>
      <c r="J817">
        <v>10</v>
      </c>
      <c r="K817" t="s">
        <v>947</v>
      </c>
    </row>
    <row r="818" spans="1:11" x14ac:dyDescent="0.25">
      <c r="A818" t="s">
        <v>23</v>
      </c>
      <c r="B818" t="s">
        <v>936</v>
      </c>
      <c r="C818" s="3">
        <v>9433</v>
      </c>
      <c r="D818" s="3">
        <v>6113</v>
      </c>
      <c r="E818" s="3">
        <v>8931</v>
      </c>
      <c r="F818">
        <v>2497</v>
      </c>
      <c r="G818">
        <v>823</v>
      </c>
      <c r="H818">
        <v>98</v>
      </c>
      <c r="I818" t="s">
        <v>939</v>
      </c>
      <c r="J818">
        <v>7</v>
      </c>
      <c r="K818" t="s">
        <v>950</v>
      </c>
    </row>
    <row r="819" spans="1:11" x14ac:dyDescent="0.25">
      <c r="A819" t="s">
        <v>640</v>
      </c>
      <c r="B819" t="s">
        <v>937</v>
      </c>
      <c r="C819" s="3">
        <v>5172</v>
      </c>
      <c r="D819" s="3">
        <v>784</v>
      </c>
      <c r="E819" s="3">
        <v>6064</v>
      </c>
      <c r="F819">
        <v>4164</v>
      </c>
      <c r="G819">
        <v>224</v>
      </c>
      <c r="H819">
        <v>26</v>
      </c>
      <c r="I819" t="s">
        <v>941</v>
      </c>
      <c r="J819">
        <v>4</v>
      </c>
      <c r="K819" t="s">
        <v>952</v>
      </c>
    </row>
    <row r="820" spans="1:11" x14ac:dyDescent="0.25">
      <c r="A820" t="s">
        <v>540</v>
      </c>
      <c r="B820" t="s">
        <v>934</v>
      </c>
      <c r="C820" s="3">
        <v>5362</v>
      </c>
      <c r="D820" s="3">
        <v>1813</v>
      </c>
      <c r="E820" s="3">
        <v>5809</v>
      </c>
      <c r="F820">
        <v>2943</v>
      </c>
      <c r="G820">
        <v>606</v>
      </c>
      <c r="H820">
        <v>54</v>
      </c>
      <c r="I820" t="s">
        <v>939</v>
      </c>
      <c r="J820">
        <v>4</v>
      </c>
      <c r="K820" t="s">
        <v>945</v>
      </c>
    </row>
    <row r="821" spans="1:11" x14ac:dyDescent="0.25">
      <c r="A821" t="s">
        <v>641</v>
      </c>
      <c r="B821" t="s">
        <v>935</v>
      </c>
      <c r="C821" s="3">
        <v>2995</v>
      </c>
      <c r="D821" s="3">
        <v>-1152</v>
      </c>
      <c r="E821" s="3">
        <v>9453</v>
      </c>
      <c r="F821">
        <v>3573</v>
      </c>
      <c r="G821">
        <v>574</v>
      </c>
      <c r="H821">
        <v>91</v>
      </c>
      <c r="I821" t="s">
        <v>942</v>
      </c>
      <c r="J821">
        <v>4</v>
      </c>
      <c r="K821" t="s">
        <v>944</v>
      </c>
    </row>
    <row r="822" spans="1:11" x14ac:dyDescent="0.25">
      <c r="A822" t="s">
        <v>642</v>
      </c>
      <c r="B822" t="s">
        <v>937</v>
      </c>
      <c r="C822" s="3">
        <v>2934</v>
      </c>
      <c r="D822" s="3">
        <v>-1047</v>
      </c>
      <c r="E822" s="3">
        <v>8499</v>
      </c>
      <c r="F822">
        <v>3219</v>
      </c>
      <c r="G822">
        <v>762</v>
      </c>
      <c r="H822">
        <v>73</v>
      </c>
      <c r="I822" t="s">
        <v>942</v>
      </c>
      <c r="J822">
        <v>2</v>
      </c>
      <c r="K822" t="s">
        <v>945</v>
      </c>
    </row>
    <row r="823" spans="1:11" x14ac:dyDescent="0.25">
      <c r="A823" t="s">
        <v>643</v>
      </c>
      <c r="B823" t="s">
        <v>936</v>
      </c>
      <c r="C823" s="3">
        <v>2309</v>
      </c>
      <c r="D823" s="3">
        <v>-2620</v>
      </c>
      <c r="E823" s="3">
        <v>5622</v>
      </c>
      <c r="F823">
        <v>4293</v>
      </c>
      <c r="G823">
        <v>636</v>
      </c>
      <c r="H823">
        <v>59</v>
      </c>
      <c r="I823" t="s">
        <v>938</v>
      </c>
      <c r="J823">
        <v>6</v>
      </c>
      <c r="K823" t="s">
        <v>946</v>
      </c>
    </row>
    <row r="824" spans="1:11" x14ac:dyDescent="0.25">
      <c r="A824" t="s">
        <v>572</v>
      </c>
      <c r="B824" t="s">
        <v>934</v>
      </c>
      <c r="C824" s="3">
        <v>7618</v>
      </c>
      <c r="D824" s="3">
        <v>4817</v>
      </c>
      <c r="E824" s="3">
        <v>4175</v>
      </c>
      <c r="F824">
        <v>925</v>
      </c>
      <c r="G824">
        <v>1876</v>
      </c>
      <c r="H824">
        <v>110</v>
      </c>
      <c r="I824" t="s">
        <v>941</v>
      </c>
      <c r="J824">
        <v>6</v>
      </c>
      <c r="K824" t="s">
        <v>948</v>
      </c>
    </row>
    <row r="825" spans="1:11" x14ac:dyDescent="0.25">
      <c r="A825" t="s">
        <v>469</v>
      </c>
      <c r="B825" t="s">
        <v>937</v>
      </c>
      <c r="C825" s="3">
        <v>6447</v>
      </c>
      <c r="D825" s="3">
        <v>1198</v>
      </c>
      <c r="E825" s="3">
        <v>7830</v>
      </c>
      <c r="F825">
        <v>4723</v>
      </c>
      <c r="G825">
        <v>526</v>
      </c>
      <c r="H825">
        <v>118</v>
      </c>
      <c r="I825" t="s">
        <v>940</v>
      </c>
      <c r="J825">
        <v>8</v>
      </c>
      <c r="K825" t="s">
        <v>951</v>
      </c>
    </row>
    <row r="826" spans="1:11" x14ac:dyDescent="0.25">
      <c r="A826" t="s">
        <v>426</v>
      </c>
      <c r="B826" t="s">
        <v>936</v>
      </c>
      <c r="C826" s="3">
        <v>3326</v>
      </c>
      <c r="D826" s="3">
        <v>637</v>
      </c>
      <c r="E826" s="3">
        <v>7437</v>
      </c>
      <c r="F826">
        <v>1100</v>
      </c>
      <c r="G826">
        <v>1589</v>
      </c>
      <c r="H826">
        <v>56</v>
      </c>
      <c r="I826" t="s">
        <v>941</v>
      </c>
      <c r="J826">
        <v>10</v>
      </c>
      <c r="K826" t="s">
        <v>949</v>
      </c>
    </row>
    <row r="827" spans="1:11" x14ac:dyDescent="0.25">
      <c r="A827" t="s">
        <v>644</v>
      </c>
      <c r="B827" t="s">
        <v>935</v>
      </c>
      <c r="C827" s="3">
        <v>2718</v>
      </c>
      <c r="D827" s="3">
        <v>-1709</v>
      </c>
      <c r="E827" s="3">
        <v>7598</v>
      </c>
      <c r="F827">
        <v>3408</v>
      </c>
      <c r="G827">
        <v>1019</v>
      </c>
      <c r="H827">
        <v>115</v>
      </c>
      <c r="I827" t="s">
        <v>941</v>
      </c>
      <c r="J827">
        <v>5</v>
      </c>
      <c r="K827" t="s">
        <v>953</v>
      </c>
    </row>
    <row r="828" spans="1:11" x14ac:dyDescent="0.25">
      <c r="A828" t="s">
        <v>57</v>
      </c>
      <c r="B828" t="s">
        <v>937</v>
      </c>
      <c r="C828" s="3">
        <v>7872</v>
      </c>
      <c r="D828" s="3">
        <v>2476</v>
      </c>
      <c r="E828" s="3">
        <v>4364</v>
      </c>
      <c r="F828">
        <v>4599</v>
      </c>
      <c r="G828">
        <v>797</v>
      </c>
      <c r="H828">
        <v>94</v>
      </c>
      <c r="I828" t="s">
        <v>939</v>
      </c>
      <c r="J828">
        <v>5</v>
      </c>
      <c r="K828" t="s">
        <v>943</v>
      </c>
    </row>
    <row r="829" spans="1:11" x14ac:dyDescent="0.25">
      <c r="A829" t="s">
        <v>505</v>
      </c>
      <c r="B829" t="s">
        <v>934</v>
      </c>
      <c r="C829" s="3">
        <v>11786</v>
      </c>
      <c r="D829" s="3">
        <v>9035</v>
      </c>
      <c r="E829" s="3">
        <v>6334</v>
      </c>
      <c r="F829">
        <v>1456</v>
      </c>
      <c r="G829">
        <v>1295</v>
      </c>
      <c r="H829">
        <v>12</v>
      </c>
      <c r="I829" t="s">
        <v>939</v>
      </c>
      <c r="J829">
        <v>4</v>
      </c>
      <c r="K829" t="s">
        <v>945</v>
      </c>
    </row>
    <row r="830" spans="1:11" x14ac:dyDescent="0.25">
      <c r="A830" t="s">
        <v>189</v>
      </c>
      <c r="B830" t="s">
        <v>936</v>
      </c>
      <c r="C830" s="3">
        <v>3761</v>
      </c>
      <c r="D830" s="3">
        <v>-506</v>
      </c>
      <c r="E830" s="3">
        <v>8716</v>
      </c>
      <c r="F830">
        <v>3841</v>
      </c>
      <c r="G830">
        <v>426</v>
      </c>
      <c r="H830">
        <v>99</v>
      </c>
      <c r="I830" t="s">
        <v>941</v>
      </c>
      <c r="J830">
        <v>10</v>
      </c>
      <c r="K830" t="s">
        <v>950</v>
      </c>
    </row>
    <row r="831" spans="1:11" x14ac:dyDescent="0.25">
      <c r="A831" t="s">
        <v>116</v>
      </c>
      <c r="B831" t="s">
        <v>935</v>
      </c>
      <c r="C831" s="3">
        <v>8836</v>
      </c>
      <c r="D831" s="3">
        <v>4275</v>
      </c>
      <c r="E831" s="3">
        <v>6513</v>
      </c>
      <c r="F831">
        <v>3063</v>
      </c>
      <c r="G831">
        <v>1498</v>
      </c>
      <c r="H831">
        <v>107</v>
      </c>
      <c r="I831" t="s">
        <v>941</v>
      </c>
      <c r="J831">
        <v>6</v>
      </c>
      <c r="K831" t="s">
        <v>948</v>
      </c>
    </row>
    <row r="832" spans="1:11" x14ac:dyDescent="0.25">
      <c r="A832" t="s">
        <v>330</v>
      </c>
      <c r="B832" t="s">
        <v>935</v>
      </c>
      <c r="C832" s="3">
        <v>9565</v>
      </c>
      <c r="D832" s="3">
        <v>5163</v>
      </c>
      <c r="E832" s="3">
        <v>7441</v>
      </c>
      <c r="F832">
        <v>3103</v>
      </c>
      <c r="G832">
        <v>1299</v>
      </c>
      <c r="H832">
        <v>96</v>
      </c>
      <c r="I832" t="s">
        <v>941</v>
      </c>
      <c r="J832">
        <v>2</v>
      </c>
      <c r="K832" t="s">
        <v>946</v>
      </c>
    </row>
    <row r="833" spans="1:11" x14ac:dyDescent="0.25">
      <c r="A833" t="s">
        <v>645</v>
      </c>
      <c r="B833" t="s">
        <v>937</v>
      </c>
      <c r="C833" s="3">
        <v>2851</v>
      </c>
      <c r="D833" s="3">
        <v>-534</v>
      </c>
      <c r="E833" s="3">
        <v>4660</v>
      </c>
      <c r="F833">
        <v>1679</v>
      </c>
      <c r="G833">
        <v>1706</v>
      </c>
      <c r="H833">
        <v>69</v>
      </c>
      <c r="I833" t="s">
        <v>942</v>
      </c>
      <c r="J833">
        <v>5</v>
      </c>
      <c r="K833" t="s">
        <v>953</v>
      </c>
    </row>
    <row r="834" spans="1:11" x14ac:dyDescent="0.25">
      <c r="A834" t="s">
        <v>508</v>
      </c>
      <c r="B834" t="s">
        <v>935</v>
      </c>
      <c r="C834" s="3">
        <v>10492</v>
      </c>
      <c r="D834" s="3">
        <v>6378</v>
      </c>
      <c r="E834" s="3">
        <v>4839</v>
      </c>
      <c r="F834">
        <v>3420</v>
      </c>
      <c r="G834">
        <v>694</v>
      </c>
      <c r="H834">
        <v>39</v>
      </c>
      <c r="I834" t="s">
        <v>940</v>
      </c>
      <c r="J834">
        <v>4</v>
      </c>
      <c r="K834" t="s">
        <v>944</v>
      </c>
    </row>
    <row r="835" spans="1:11" x14ac:dyDescent="0.25">
      <c r="A835" t="s">
        <v>126</v>
      </c>
      <c r="B835" t="s">
        <v>935</v>
      </c>
      <c r="C835" s="3">
        <v>3787</v>
      </c>
      <c r="D835" s="3">
        <v>524</v>
      </c>
      <c r="E835" s="3">
        <v>8873</v>
      </c>
      <c r="F835">
        <v>1382</v>
      </c>
      <c r="G835">
        <v>1881</v>
      </c>
      <c r="H835">
        <v>17</v>
      </c>
      <c r="I835" t="s">
        <v>941</v>
      </c>
      <c r="J835">
        <v>4</v>
      </c>
      <c r="K835" t="s">
        <v>947</v>
      </c>
    </row>
    <row r="836" spans="1:11" x14ac:dyDescent="0.25">
      <c r="A836" t="s">
        <v>646</v>
      </c>
      <c r="B836" t="s">
        <v>935</v>
      </c>
      <c r="C836" s="3">
        <v>7417</v>
      </c>
      <c r="D836" s="3">
        <v>1618</v>
      </c>
      <c r="E836" s="3">
        <v>9861</v>
      </c>
      <c r="F836">
        <v>3917</v>
      </c>
      <c r="G836">
        <v>1882</v>
      </c>
      <c r="H836">
        <v>101</v>
      </c>
      <c r="I836" t="s">
        <v>939</v>
      </c>
      <c r="J836">
        <v>4</v>
      </c>
      <c r="K836" t="s">
        <v>947</v>
      </c>
    </row>
    <row r="837" spans="1:11" x14ac:dyDescent="0.25">
      <c r="A837" t="s">
        <v>178</v>
      </c>
      <c r="B837" t="s">
        <v>935</v>
      </c>
      <c r="C837" s="3">
        <v>2086</v>
      </c>
      <c r="D837" s="3">
        <v>-536</v>
      </c>
      <c r="E837" s="3">
        <v>5046</v>
      </c>
      <c r="F837">
        <v>1449</v>
      </c>
      <c r="G837">
        <v>1173</v>
      </c>
      <c r="H837">
        <v>76</v>
      </c>
      <c r="I837" t="s">
        <v>941</v>
      </c>
      <c r="J837">
        <v>6</v>
      </c>
      <c r="K837" t="s">
        <v>953</v>
      </c>
    </row>
    <row r="838" spans="1:11" x14ac:dyDescent="0.25">
      <c r="A838" t="s">
        <v>647</v>
      </c>
      <c r="B838" t="s">
        <v>935</v>
      </c>
      <c r="C838" s="3">
        <v>8350</v>
      </c>
      <c r="D838" s="3">
        <v>4845</v>
      </c>
      <c r="E838" s="3">
        <v>5569</v>
      </c>
      <c r="F838">
        <v>2945</v>
      </c>
      <c r="G838">
        <v>560</v>
      </c>
      <c r="H838">
        <v>85</v>
      </c>
      <c r="I838" t="s">
        <v>941</v>
      </c>
      <c r="J838">
        <v>8</v>
      </c>
      <c r="K838" t="s">
        <v>950</v>
      </c>
    </row>
    <row r="839" spans="1:11" x14ac:dyDescent="0.25">
      <c r="A839" t="s">
        <v>648</v>
      </c>
      <c r="B839" t="s">
        <v>937</v>
      </c>
      <c r="C839" s="3">
        <v>3545</v>
      </c>
      <c r="D839" s="3">
        <v>1968</v>
      </c>
      <c r="E839" s="3">
        <v>8223</v>
      </c>
      <c r="F839">
        <v>1200</v>
      </c>
      <c r="G839">
        <v>377</v>
      </c>
      <c r="H839">
        <v>36</v>
      </c>
      <c r="I839" t="s">
        <v>942</v>
      </c>
      <c r="J839">
        <v>5</v>
      </c>
      <c r="K839" t="s">
        <v>944</v>
      </c>
    </row>
    <row r="840" spans="1:11" x14ac:dyDescent="0.25">
      <c r="A840" t="s">
        <v>649</v>
      </c>
      <c r="B840" t="s">
        <v>936</v>
      </c>
      <c r="C840" s="3">
        <v>11493</v>
      </c>
      <c r="D840" s="3">
        <v>6579</v>
      </c>
      <c r="E840" s="3">
        <v>8505</v>
      </c>
      <c r="F840">
        <v>4341</v>
      </c>
      <c r="G840">
        <v>573</v>
      </c>
      <c r="H840">
        <v>115</v>
      </c>
      <c r="I840" t="s">
        <v>941</v>
      </c>
      <c r="J840">
        <v>10</v>
      </c>
      <c r="K840" t="s">
        <v>947</v>
      </c>
    </row>
    <row r="841" spans="1:11" x14ac:dyDescent="0.25">
      <c r="A841" t="s">
        <v>650</v>
      </c>
      <c r="B841" t="s">
        <v>935</v>
      </c>
      <c r="C841" s="3">
        <v>4131</v>
      </c>
      <c r="D841" s="3">
        <v>1287</v>
      </c>
      <c r="E841" s="3">
        <v>9983</v>
      </c>
      <c r="F841">
        <v>978</v>
      </c>
      <c r="G841">
        <v>1866</v>
      </c>
      <c r="H841">
        <v>98</v>
      </c>
      <c r="I841" t="s">
        <v>942</v>
      </c>
      <c r="J841">
        <v>1</v>
      </c>
      <c r="K841" t="s">
        <v>943</v>
      </c>
    </row>
    <row r="842" spans="1:11" x14ac:dyDescent="0.25">
      <c r="A842" t="s">
        <v>651</v>
      </c>
      <c r="B842" t="s">
        <v>935</v>
      </c>
      <c r="C842" s="3">
        <v>2783</v>
      </c>
      <c r="D842" s="3">
        <v>157</v>
      </c>
      <c r="E842" s="3">
        <v>9190</v>
      </c>
      <c r="F842">
        <v>1934</v>
      </c>
      <c r="G842">
        <v>692</v>
      </c>
      <c r="H842">
        <v>14</v>
      </c>
      <c r="I842" t="s">
        <v>939</v>
      </c>
      <c r="J842">
        <v>1</v>
      </c>
      <c r="K842" t="s">
        <v>950</v>
      </c>
    </row>
    <row r="843" spans="1:11" x14ac:dyDescent="0.25">
      <c r="A843" t="s">
        <v>652</v>
      </c>
      <c r="B843" t="s">
        <v>936</v>
      </c>
      <c r="C843" s="3">
        <v>10116</v>
      </c>
      <c r="D843" s="3">
        <v>6031</v>
      </c>
      <c r="E843" s="3">
        <v>6359</v>
      </c>
      <c r="F843">
        <v>3191</v>
      </c>
      <c r="G843">
        <v>894</v>
      </c>
      <c r="H843">
        <v>13</v>
      </c>
      <c r="I843" t="s">
        <v>939</v>
      </c>
      <c r="J843">
        <v>4</v>
      </c>
      <c r="K843" t="s">
        <v>944</v>
      </c>
    </row>
    <row r="844" spans="1:11" x14ac:dyDescent="0.25">
      <c r="A844" t="s">
        <v>653</v>
      </c>
      <c r="B844" t="s">
        <v>936</v>
      </c>
      <c r="C844" s="3">
        <v>3132</v>
      </c>
      <c r="D844" s="3">
        <v>-1371</v>
      </c>
      <c r="E844" s="3">
        <v>5612</v>
      </c>
      <c r="F844">
        <v>4059</v>
      </c>
      <c r="G844">
        <v>444</v>
      </c>
      <c r="H844">
        <v>112</v>
      </c>
      <c r="I844" t="s">
        <v>942</v>
      </c>
      <c r="J844">
        <v>7</v>
      </c>
      <c r="K844" t="s">
        <v>949</v>
      </c>
    </row>
    <row r="845" spans="1:11" x14ac:dyDescent="0.25">
      <c r="A845" t="s">
        <v>502</v>
      </c>
      <c r="B845" t="s">
        <v>937</v>
      </c>
      <c r="C845" s="3">
        <v>6049</v>
      </c>
      <c r="D845" s="3">
        <v>3525</v>
      </c>
      <c r="E845" s="3">
        <v>4241</v>
      </c>
      <c r="F845">
        <v>2024</v>
      </c>
      <c r="G845">
        <v>500</v>
      </c>
      <c r="H845">
        <v>10</v>
      </c>
      <c r="I845" t="s">
        <v>940</v>
      </c>
      <c r="J845">
        <v>5</v>
      </c>
      <c r="K845" t="s">
        <v>953</v>
      </c>
    </row>
    <row r="846" spans="1:11" x14ac:dyDescent="0.25">
      <c r="A846" t="s">
        <v>654</v>
      </c>
      <c r="B846" t="s">
        <v>934</v>
      </c>
      <c r="C846" s="3">
        <v>11171</v>
      </c>
      <c r="D846" s="3">
        <v>6661</v>
      </c>
      <c r="E846" s="3">
        <v>7426</v>
      </c>
      <c r="F846">
        <v>2614</v>
      </c>
      <c r="G846">
        <v>1896</v>
      </c>
      <c r="H846">
        <v>18</v>
      </c>
      <c r="I846" t="s">
        <v>939</v>
      </c>
      <c r="J846">
        <v>8</v>
      </c>
      <c r="K846" t="s">
        <v>948</v>
      </c>
    </row>
    <row r="847" spans="1:11" x14ac:dyDescent="0.25">
      <c r="A847" t="s">
        <v>532</v>
      </c>
      <c r="B847" t="s">
        <v>936</v>
      </c>
      <c r="C847" s="3">
        <v>11141</v>
      </c>
      <c r="D847" s="3">
        <v>6090</v>
      </c>
      <c r="E847" s="3">
        <v>5906</v>
      </c>
      <c r="F847">
        <v>3897</v>
      </c>
      <c r="G847">
        <v>1154</v>
      </c>
      <c r="H847">
        <v>41</v>
      </c>
      <c r="I847" t="s">
        <v>938</v>
      </c>
      <c r="J847">
        <v>8</v>
      </c>
      <c r="K847" t="s">
        <v>943</v>
      </c>
    </row>
    <row r="848" spans="1:11" x14ac:dyDescent="0.25">
      <c r="A848" t="s">
        <v>655</v>
      </c>
      <c r="B848" t="s">
        <v>935</v>
      </c>
      <c r="C848" s="3">
        <v>3991</v>
      </c>
      <c r="D848" s="3">
        <v>1238</v>
      </c>
      <c r="E848" s="3">
        <v>5508</v>
      </c>
      <c r="F848">
        <v>2301</v>
      </c>
      <c r="G848">
        <v>452</v>
      </c>
      <c r="H848">
        <v>99</v>
      </c>
      <c r="I848" t="s">
        <v>942</v>
      </c>
      <c r="J848">
        <v>4</v>
      </c>
      <c r="K848" t="s">
        <v>949</v>
      </c>
    </row>
    <row r="849" spans="1:11" x14ac:dyDescent="0.25">
      <c r="A849" t="s">
        <v>656</v>
      </c>
      <c r="B849" t="s">
        <v>934</v>
      </c>
      <c r="C849" s="3">
        <v>9881</v>
      </c>
      <c r="D849" s="3">
        <v>7455</v>
      </c>
      <c r="E849" s="3">
        <v>7557</v>
      </c>
      <c r="F849">
        <v>1619</v>
      </c>
      <c r="G849">
        <v>807</v>
      </c>
      <c r="H849">
        <v>12</v>
      </c>
      <c r="I849" t="s">
        <v>939</v>
      </c>
      <c r="J849">
        <v>6</v>
      </c>
      <c r="K849" t="s">
        <v>953</v>
      </c>
    </row>
    <row r="850" spans="1:11" x14ac:dyDescent="0.25">
      <c r="A850" t="s">
        <v>89</v>
      </c>
      <c r="B850" t="s">
        <v>936</v>
      </c>
      <c r="C850" s="3">
        <v>4019</v>
      </c>
      <c r="D850" s="3">
        <v>-2150</v>
      </c>
      <c r="E850" s="3">
        <v>5496</v>
      </c>
      <c r="F850">
        <v>4909</v>
      </c>
      <c r="G850">
        <v>1260</v>
      </c>
      <c r="H850">
        <v>120</v>
      </c>
      <c r="I850" t="s">
        <v>938</v>
      </c>
      <c r="J850">
        <v>7</v>
      </c>
      <c r="K850" t="s">
        <v>943</v>
      </c>
    </row>
    <row r="851" spans="1:11" x14ac:dyDescent="0.25">
      <c r="A851" t="s">
        <v>657</v>
      </c>
      <c r="B851" t="s">
        <v>934</v>
      </c>
      <c r="C851" s="3">
        <v>8593</v>
      </c>
      <c r="D851" s="3">
        <v>2852</v>
      </c>
      <c r="E851" s="3">
        <v>5607</v>
      </c>
      <c r="F851">
        <v>4897</v>
      </c>
      <c r="G851">
        <v>844</v>
      </c>
      <c r="H851">
        <v>33</v>
      </c>
      <c r="I851" t="s">
        <v>938</v>
      </c>
      <c r="J851">
        <v>7</v>
      </c>
      <c r="K851" t="s">
        <v>946</v>
      </c>
    </row>
    <row r="852" spans="1:11" x14ac:dyDescent="0.25">
      <c r="A852" t="s">
        <v>403</v>
      </c>
      <c r="B852" t="s">
        <v>937</v>
      </c>
      <c r="C852" s="3">
        <v>5982</v>
      </c>
      <c r="D852" s="3">
        <v>280</v>
      </c>
      <c r="E852" s="3">
        <v>4563</v>
      </c>
      <c r="F852">
        <v>4222</v>
      </c>
      <c r="G852">
        <v>1480</v>
      </c>
      <c r="H852">
        <v>44</v>
      </c>
      <c r="I852" t="s">
        <v>940</v>
      </c>
      <c r="J852">
        <v>3</v>
      </c>
      <c r="K852" t="s">
        <v>950</v>
      </c>
    </row>
    <row r="853" spans="1:11" x14ac:dyDescent="0.25">
      <c r="A853" t="s">
        <v>658</v>
      </c>
      <c r="B853" t="s">
        <v>935</v>
      </c>
      <c r="C853" s="3">
        <v>5935</v>
      </c>
      <c r="D853" s="3">
        <v>720</v>
      </c>
      <c r="E853" s="3">
        <v>6955</v>
      </c>
      <c r="F853">
        <v>4005</v>
      </c>
      <c r="G853">
        <v>1210</v>
      </c>
      <c r="H853">
        <v>94</v>
      </c>
      <c r="I853" t="s">
        <v>940</v>
      </c>
      <c r="J853">
        <v>3</v>
      </c>
      <c r="K853" t="s">
        <v>948</v>
      </c>
    </row>
    <row r="854" spans="1:11" x14ac:dyDescent="0.25">
      <c r="A854" t="s">
        <v>659</v>
      </c>
      <c r="B854" t="s">
        <v>935</v>
      </c>
      <c r="C854" s="3">
        <v>8143</v>
      </c>
      <c r="D854" s="3">
        <v>4558</v>
      </c>
      <c r="E854" s="3">
        <v>4291</v>
      </c>
      <c r="F854">
        <v>2474</v>
      </c>
      <c r="G854">
        <v>1111</v>
      </c>
      <c r="H854">
        <v>42</v>
      </c>
      <c r="I854" t="s">
        <v>942</v>
      </c>
      <c r="J854">
        <v>1</v>
      </c>
      <c r="K854" t="s">
        <v>954</v>
      </c>
    </row>
    <row r="855" spans="1:11" x14ac:dyDescent="0.25">
      <c r="A855" t="s">
        <v>660</v>
      </c>
      <c r="B855" t="s">
        <v>934</v>
      </c>
      <c r="C855" s="3">
        <v>3304</v>
      </c>
      <c r="D855" s="3">
        <v>1410</v>
      </c>
      <c r="E855" s="3">
        <v>7698</v>
      </c>
      <c r="F855">
        <v>1529</v>
      </c>
      <c r="G855">
        <v>365</v>
      </c>
      <c r="H855">
        <v>108</v>
      </c>
      <c r="I855" t="s">
        <v>940</v>
      </c>
      <c r="J855">
        <v>5</v>
      </c>
      <c r="K855" t="s">
        <v>951</v>
      </c>
    </row>
    <row r="856" spans="1:11" x14ac:dyDescent="0.25">
      <c r="A856" t="s">
        <v>537</v>
      </c>
      <c r="B856" t="s">
        <v>934</v>
      </c>
      <c r="C856" s="3">
        <v>4029</v>
      </c>
      <c r="D856" s="3">
        <v>-32</v>
      </c>
      <c r="E856" s="3">
        <v>4552</v>
      </c>
      <c r="F856">
        <v>2315</v>
      </c>
      <c r="G856">
        <v>1746</v>
      </c>
      <c r="H856">
        <v>19</v>
      </c>
      <c r="I856" t="s">
        <v>940</v>
      </c>
      <c r="J856">
        <v>1</v>
      </c>
      <c r="K856" t="s">
        <v>944</v>
      </c>
    </row>
    <row r="857" spans="1:11" x14ac:dyDescent="0.25">
      <c r="A857" t="s">
        <v>80</v>
      </c>
      <c r="B857" t="s">
        <v>937</v>
      </c>
      <c r="C857" s="3">
        <v>9398</v>
      </c>
      <c r="D857" s="3">
        <v>4958</v>
      </c>
      <c r="E857" s="3">
        <v>7570</v>
      </c>
      <c r="F857">
        <v>2571</v>
      </c>
      <c r="G857">
        <v>1869</v>
      </c>
      <c r="H857">
        <v>99</v>
      </c>
      <c r="I857" t="s">
        <v>942</v>
      </c>
      <c r="J857">
        <v>9</v>
      </c>
      <c r="K857" t="s">
        <v>949</v>
      </c>
    </row>
    <row r="858" spans="1:11" x14ac:dyDescent="0.25">
      <c r="A858" t="s">
        <v>661</v>
      </c>
      <c r="B858" t="s">
        <v>934</v>
      </c>
      <c r="C858" s="3">
        <v>9472</v>
      </c>
      <c r="D858" s="3">
        <v>4520</v>
      </c>
      <c r="E858" s="3">
        <v>8420</v>
      </c>
      <c r="F858">
        <v>4521</v>
      </c>
      <c r="G858">
        <v>431</v>
      </c>
      <c r="H858">
        <v>120</v>
      </c>
      <c r="I858" t="s">
        <v>940</v>
      </c>
      <c r="J858">
        <v>8</v>
      </c>
      <c r="K858" t="s">
        <v>945</v>
      </c>
    </row>
    <row r="859" spans="1:11" x14ac:dyDescent="0.25">
      <c r="A859" t="s">
        <v>401</v>
      </c>
      <c r="B859" t="s">
        <v>934</v>
      </c>
      <c r="C859" s="3">
        <v>4375</v>
      </c>
      <c r="D859" s="3">
        <v>-891</v>
      </c>
      <c r="E859" s="3">
        <v>4766</v>
      </c>
      <c r="F859">
        <v>4161</v>
      </c>
      <c r="G859">
        <v>1105</v>
      </c>
      <c r="H859">
        <v>14</v>
      </c>
      <c r="I859" t="s">
        <v>939</v>
      </c>
      <c r="J859">
        <v>1</v>
      </c>
      <c r="K859" t="s">
        <v>953</v>
      </c>
    </row>
    <row r="860" spans="1:11" x14ac:dyDescent="0.25">
      <c r="A860" t="s">
        <v>662</v>
      </c>
      <c r="B860" t="s">
        <v>936</v>
      </c>
      <c r="C860" s="3">
        <v>9349</v>
      </c>
      <c r="D860" s="3">
        <v>6024</v>
      </c>
      <c r="E860" s="3">
        <v>7043</v>
      </c>
      <c r="F860">
        <v>1838</v>
      </c>
      <c r="G860">
        <v>1487</v>
      </c>
      <c r="H860">
        <v>13</v>
      </c>
      <c r="I860" t="s">
        <v>941</v>
      </c>
      <c r="J860">
        <v>5</v>
      </c>
      <c r="K860" t="s">
        <v>949</v>
      </c>
    </row>
    <row r="861" spans="1:11" x14ac:dyDescent="0.25">
      <c r="A861" t="s">
        <v>663</v>
      </c>
      <c r="B861" t="s">
        <v>936</v>
      </c>
      <c r="C861" s="3">
        <v>11028</v>
      </c>
      <c r="D861" s="3">
        <v>7219</v>
      </c>
      <c r="E861" s="3">
        <v>8131</v>
      </c>
      <c r="F861">
        <v>2833</v>
      </c>
      <c r="G861">
        <v>976</v>
      </c>
      <c r="H861">
        <v>106</v>
      </c>
      <c r="I861" t="s">
        <v>939</v>
      </c>
      <c r="J861">
        <v>7</v>
      </c>
      <c r="K861" t="s">
        <v>947</v>
      </c>
    </row>
    <row r="862" spans="1:11" x14ac:dyDescent="0.25">
      <c r="A862" t="s">
        <v>664</v>
      </c>
      <c r="B862" t="s">
        <v>934</v>
      </c>
      <c r="C862" s="3">
        <v>5084</v>
      </c>
      <c r="D862" s="3">
        <v>-1203</v>
      </c>
      <c r="E862" s="3">
        <v>5056</v>
      </c>
      <c r="F862">
        <v>4519</v>
      </c>
      <c r="G862">
        <v>1768</v>
      </c>
      <c r="H862">
        <v>83</v>
      </c>
      <c r="I862" t="s">
        <v>942</v>
      </c>
      <c r="J862">
        <v>10</v>
      </c>
      <c r="K862" t="s">
        <v>944</v>
      </c>
    </row>
    <row r="863" spans="1:11" x14ac:dyDescent="0.25">
      <c r="A863" t="s">
        <v>122</v>
      </c>
      <c r="B863" t="s">
        <v>937</v>
      </c>
      <c r="C863" s="3">
        <v>4964</v>
      </c>
      <c r="D863" s="3">
        <v>705</v>
      </c>
      <c r="E863" s="3">
        <v>8140</v>
      </c>
      <c r="F863">
        <v>2478</v>
      </c>
      <c r="G863">
        <v>1781</v>
      </c>
      <c r="H863">
        <v>117</v>
      </c>
      <c r="I863" t="s">
        <v>941</v>
      </c>
      <c r="J863">
        <v>8</v>
      </c>
      <c r="K863" t="s">
        <v>951</v>
      </c>
    </row>
    <row r="864" spans="1:11" x14ac:dyDescent="0.25">
      <c r="A864" t="s">
        <v>427</v>
      </c>
      <c r="B864" t="s">
        <v>937</v>
      </c>
      <c r="C864" s="3">
        <v>10776</v>
      </c>
      <c r="D864" s="3">
        <v>6628</v>
      </c>
      <c r="E864" s="3">
        <v>6554</v>
      </c>
      <c r="F864">
        <v>2338</v>
      </c>
      <c r="G864">
        <v>1810</v>
      </c>
      <c r="H864">
        <v>63</v>
      </c>
      <c r="I864" t="s">
        <v>942</v>
      </c>
      <c r="J864">
        <v>7</v>
      </c>
      <c r="K864" t="s">
        <v>944</v>
      </c>
    </row>
    <row r="865" spans="1:11" x14ac:dyDescent="0.25">
      <c r="A865" t="s">
        <v>174</v>
      </c>
      <c r="B865" t="s">
        <v>935</v>
      </c>
      <c r="C865" s="3">
        <v>7947</v>
      </c>
      <c r="D865" s="3">
        <v>3816</v>
      </c>
      <c r="E865" s="3">
        <v>9395</v>
      </c>
      <c r="F865">
        <v>2845</v>
      </c>
      <c r="G865">
        <v>1286</v>
      </c>
      <c r="H865">
        <v>44</v>
      </c>
      <c r="I865" t="s">
        <v>938</v>
      </c>
      <c r="J865">
        <v>2</v>
      </c>
      <c r="K865" t="s">
        <v>954</v>
      </c>
    </row>
    <row r="866" spans="1:11" x14ac:dyDescent="0.25">
      <c r="A866" t="s">
        <v>665</v>
      </c>
      <c r="B866" t="s">
        <v>934</v>
      </c>
      <c r="C866" s="3">
        <v>3974</v>
      </c>
      <c r="D866" s="3">
        <v>-88</v>
      </c>
      <c r="E866" s="3">
        <v>4935</v>
      </c>
      <c r="F866">
        <v>3085</v>
      </c>
      <c r="G866">
        <v>977</v>
      </c>
      <c r="H866">
        <v>32</v>
      </c>
      <c r="I866" t="s">
        <v>939</v>
      </c>
      <c r="J866">
        <v>7</v>
      </c>
      <c r="K866" t="s">
        <v>945</v>
      </c>
    </row>
    <row r="867" spans="1:11" x14ac:dyDescent="0.25">
      <c r="A867" t="s">
        <v>666</v>
      </c>
      <c r="B867" t="s">
        <v>935</v>
      </c>
      <c r="C867" s="3">
        <v>3969</v>
      </c>
      <c r="D867" s="3">
        <v>-2723</v>
      </c>
      <c r="E867" s="3">
        <v>5591</v>
      </c>
      <c r="F867">
        <v>4921</v>
      </c>
      <c r="G867">
        <v>1771</v>
      </c>
      <c r="H867">
        <v>53</v>
      </c>
      <c r="I867" t="s">
        <v>941</v>
      </c>
      <c r="J867">
        <v>2</v>
      </c>
      <c r="K867" t="s">
        <v>948</v>
      </c>
    </row>
    <row r="868" spans="1:11" x14ac:dyDescent="0.25">
      <c r="A868" t="s">
        <v>667</v>
      </c>
      <c r="B868" t="s">
        <v>937</v>
      </c>
      <c r="C868" s="3">
        <v>9038</v>
      </c>
      <c r="D868" s="3">
        <v>3691</v>
      </c>
      <c r="E868" s="3">
        <v>7624</v>
      </c>
      <c r="F868">
        <v>3905</v>
      </c>
      <c r="G868">
        <v>1442</v>
      </c>
      <c r="H868">
        <v>27</v>
      </c>
      <c r="I868" t="s">
        <v>939</v>
      </c>
      <c r="J868">
        <v>10</v>
      </c>
      <c r="K868" t="s">
        <v>953</v>
      </c>
    </row>
    <row r="869" spans="1:11" x14ac:dyDescent="0.25">
      <c r="A869" t="s">
        <v>668</v>
      </c>
      <c r="B869" t="s">
        <v>935</v>
      </c>
      <c r="C869" s="3">
        <v>2090</v>
      </c>
      <c r="D869" s="3">
        <v>-2288</v>
      </c>
      <c r="E869" s="3">
        <v>5988</v>
      </c>
      <c r="F869">
        <v>2947</v>
      </c>
      <c r="G869">
        <v>1431</v>
      </c>
      <c r="H869">
        <v>62</v>
      </c>
      <c r="I869" t="s">
        <v>939</v>
      </c>
      <c r="J869">
        <v>3</v>
      </c>
      <c r="K869" t="s">
        <v>950</v>
      </c>
    </row>
    <row r="870" spans="1:11" x14ac:dyDescent="0.25">
      <c r="A870" t="s">
        <v>644</v>
      </c>
      <c r="B870" t="s">
        <v>936</v>
      </c>
      <c r="C870" s="3">
        <v>11541</v>
      </c>
      <c r="D870" s="3">
        <v>7085</v>
      </c>
      <c r="E870" s="3">
        <v>6431</v>
      </c>
      <c r="F870">
        <v>2537</v>
      </c>
      <c r="G870">
        <v>1919</v>
      </c>
      <c r="H870">
        <v>109</v>
      </c>
      <c r="I870" t="s">
        <v>941</v>
      </c>
      <c r="J870">
        <v>6</v>
      </c>
      <c r="K870" t="s">
        <v>953</v>
      </c>
    </row>
    <row r="871" spans="1:11" x14ac:dyDescent="0.25">
      <c r="A871" t="s">
        <v>262</v>
      </c>
      <c r="B871" t="s">
        <v>937</v>
      </c>
      <c r="C871" s="3">
        <v>4165</v>
      </c>
      <c r="D871" s="3">
        <v>2273</v>
      </c>
      <c r="E871" s="3">
        <v>8085</v>
      </c>
      <c r="F871">
        <v>891</v>
      </c>
      <c r="G871">
        <v>1001</v>
      </c>
      <c r="H871">
        <v>46</v>
      </c>
      <c r="I871" t="s">
        <v>938</v>
      </c>
      <c r="J871">
        <v>3</v>
      </c>
      <c r="K871" t="s">
        <v>949</v>
      </c>
    </row>
    <row r="872" spans="1:11" x14ac:dyDescent="0.25">
      <c r="A872" t="s">
        <v>669</v>
      </c>
      <c r="B872" t="s">
        <v>935</v>
      </c>
      <c r="C872" s="3">
        <v>4621</v>
      </c>
      <c r="D872" s="3">
        <v>1997</v>
      </c>
      <c r="E872" s="3">
        <v>7848</v>
      </c>
      <c r="F872">
        <v>1629</v>
      </c>
      <c r="G872">
        <v>995</v>
      </c>
      <c r="H872">
        <v>116</v>
      </c>
      <c r="I872" t="s">
        <v>942</v>
      </c>
      <c r="J872">
        <v>10</v>
      </c>
      <c r="K872" t="s">
        <v>946</v>
      </c>
    </row>
    <row r="873" spans="1:11" x14ac:dyDescent="0.25">
      <c r="A873" t="s">
        <v>301</v>
      </c>
      <c r="B873" t="s">
        <v>935</v>
      </c>
      <c r="C873" s="3">
        <v>3456</v>
      </c>
      <c r="D873" s="3">
        <v>683</v>
      </c>
      <c r="E873" s="3">
        <v>6628</v>
      </c>
      <c r="F873">
        <v>2034</v>
      </c>
      <c r="G873">
        <v>739</v>
      </c>
      <c r="H873">
        <v>64</v>
      </c>
      <c r="I873" t="s">
        <v>941</v>
      </c>
      <c r="J873">
        <v>1</v>
      </c>
      <c r="K873" t="s">
        <v>944</v>
      </c>
    </row>
    <row r="874" spans="1:11" x14ac:dyDescent="0.25">
      <c r="A874" t="s">
        <v>670</v>
      </c>
      <c r="B874" t="s">
        <v>935</v>
      </c>
      <c r="C874" s="3">
        <v>5541</v>
      </c>
      <c r="D874" s="3">
        <v>1412</v>
      </c>
      <c r="E874" s="3">
        <v>6528</v>
      </c>
      <c r="F874">
        <v>3793</v>
      </c>
      <c r="G874">
        <v>336</v>
      </c>
      <c r="H874">
        <v>34</v>
      </c>
      <c r="I874" t="s">
        <v>938</v>
      </c>
      <c r="J874">
        <v>4</v>
      </c>
      <c r="K874" t="s">
        <v>953</v>
      </c>
    </row>
    <row r="875" spans="1:11" x14ac:dyDescent="0.25">
      <c r="A875" t="s">
        <v>671</v>
      </c>
      <c r="B875" t="s">
        <v>937</v>
      </c>
      <c r="C875" s="3">
        <v>10789</v>
      </c>
      <c r="D875" s="3">
        <v>8651</v>
      </c>
      <c r="E875" s="3">
        <v>7565</v>
      </c>
      <c r="F875">
        <v>1349</v>
      </c>
      <c r="G875">
        <v>789</v>
      </c>
      <c r="H875">
        <v>18</v>
      </c>
      <c r="I875" t="s">
        <v>942</v>
      </c>
      <c r="J875">
        <v>6</v>
      </c>
      <c r="K875" t="s">
        <v>947</v>
      </c>
    </row>
    <row r="876" spans="1:11" x14ac:dyDescent="0.25">
      <c r="A876" t="s">
        <v>327</v>
      </c>
      <c r="B876" t="s">
        <v>937</v>
      </c>
      <c r="C876" s="3">
        <v>4974</v>
      </c>
      <c r="D876" s="3">
        <v>-57</v>
      </c>
      <c r="E876" s="3">
        <v>7253</v>
      </c>
      <c r="F876">
        <v>4689</v>
      </c>
      <c r="G876">
        <v>342</v>
      </c>
      <c r="H876">
        <v>68</v>
      </c>
      <c r="I876" t="s">
        <v>938</v>
      </c>
      <c r="J876">
        <v>6</v>
      </c>
      <c r="K876" t="s">
        <v>951</v>
      </c>
    </row>
    <row r="877" spans="1:11" x14ac:dyDescent="0.25">
      <c r="A877" t="s">
        <v>672</v>
      </c>
      <c r="B877" t="s">
        <v>936</v>
      </c>
      <c r="C877" s="3">
        <v>4145</v>
      </c>
      <c r="D877" s="3">
        <v>2793</v>
      </c>
      <c r="E877" s="3">
        <v>9621</v>
      </c>
      <c r="F877">
        <v>924</v>
      </c>
      <c r="G877">
        <v>428</v>
      </c>
      <c r="H877">
        <v>71</v>
      </c>
      <c r="I877" t="s">
        <v>940</v>
      </c>
      <c r="J877">
        <v>1</v>
      </c>
      <c r="K877" t="s">
        <v>949</v>
      </c>
    </row>
    <row r="878" spans="1:11" x14ac:dyDescent="0.25">
      <c r="A878" t="s">
        <v>457</v>
      </c>
      <c r="B878" t="s">
        <v>935</v>
      </c>
      <c r="C878" s="3">
        <v>2213</v>
      </c>
      <c r="D878" s="3">
        <v>-129</v>
      </c>
      <c r="E878" s="3">
        <v>8232</v>
      </c>
      <c r="F878">
        <v>957</v>
      </c>
      <c r="G878">
        <v>1385</v>
      </c>
      <c r="H878">
        <v>109</v>
      </c>
      <c r="I878" t="s">
        <v>938</v>
      </c>
      <c r="J878">
        <v>2</v>
      </c>
      <c r="K878" t="s">
        <v>950</v>
      </c>
    </row>
    <row r="879" spans="1:11" x14ac:dyDescent="0.25">
      <c r="A879" t="s">
        <v>499</v>
      </c>
      <c r="B879" t="s">
        <v>935</v>
      </c>
      <c r="C879" s="3">
        <v>2083</v>
      </c>
      <c r="D879" s="3">
        <v>-3488</v>
      </c>
      <c r="E879" s="3">
        <v>5078</v>
      </c>
      <c r="F879">
        <v>3810</v>
      </c>
      <c r="G879">
        <v>1761</v>
      </c>
      <c r="H879">
        <v>113</v>
      </c>
      <c r="I879" t="s">
        <v>941</v>
      </c>
      <c r="J879">
        <v>5</v>
      </c>
      <c r="K879" t="s">
        <v>945</v>
      </c>
    </row>
    <row r="880" spans="1:11" x14ac:dyDescent="0.25">
      <c r="A880" t="s">
        <v>673</v>
      </c>
      <c r="B880" t="s">
        <v>935</v>
      </c>
      <c r="C880" s="3">
        <v>9762</v>
      </c>
      <c r="D880" s="3">
        <v>4974</v>
      </c>
      <c r="E880" s="3">
        <v>9241</v>
      </c>
      <c r="F880">
        <v>2814</v>
      </c>
      <c r="G880">
        <v>1974</v>
      </c>
      <c r="H880">
        <v>58</v>
      </c>
      <c r="I880" t="s">
        <v>939</v>
      </c>
      <c r="J880">
        <v>7</v>
      </c>
      <c r="K880" t="s">
        <v>947</v>
      </c>
    </row>
    <row r="881" spans="1:11" x14ac:dyDescent="0.25">
      <c r="A881" t="s">
        <v>674</v>
      </c>
      <c r="B881" t="s">
        <v>936</v>
      </c>
      <c r="C881" s="3">
        <v>9181</v>
      </c>
      <c r="D881" s="3">
        <v>4391</v>
      </c>
      <c r="E881" s="3">
        <v>7127</v>
      </c>
      <c r="F881">
        <v>4033</v>
      </c>
      <c r="G881">
        <v>757</v>
      </c>
      <c r="H881">
        <v>62</v>
      </c>
      <c r="I881" t="s">
        <v>940</v>
      </c>
      <c r="J881">
        <v>8</v>
      </c>
      <c r="K881" t="s">
        <v>950</v>
      </c>
    </row>
    <row r="882" spans="1:11" x14ac:dyDescent="0.25">
      <c r="A882" t="s">
        <v>249</v>
      </c>
      <c r="B882" t="s">
        <v>936</v>
      </c>
      <c r="C882" s="3">
        <v>2262</v>
      </c>
      <c r="D882" s="3">
        <v>428</v>
      </c>
      <c r="E882" s="3">
        <v>6253</v>
      </c>
      <c r="F882">
        <v>1016</v>
      </c>
      <c r="G882">
        <v>818</v>
      </c>
      <c r="H882">
        <v>55</v>
      </c>
      <c r="I882" t="s">
        <v>938</v>
      </c>
      <c r="J882">
        <v>1</v>
      </c>
      <c r="K882" t="s">
        <v>950</v>
      </c>
    </row>
    <row r="883" spans="1:11" x14ac:dyDescent="0.25">
      <c r="A883" t="s">
        <v>675</v>
      </c>
      <c r="B883" t="s">
        <v>937</v>
      </c>
      <c r="C883" s="3">
        <v>11245</v>
      </c>
      <c r="D883" s="3">
        <v>7993</v>
      </c>
      <c r="E883" s="3">
        <v>5122</v>
      </c>
      <c r="F883">
        <v>2300</v>
      </c>
      <c r="G883">
        <v>952</v>
      </c>
      <c r="H883">
        <v>116</v>
      </c>
      <c r="I883" t="s">
        <v>939</v>
      </c>
      <c r="J883">
        <v>8</v>
      </c>
      <c r="K883" t="s">
        <v>945</v>
      </c>
    </row>
    <row r="884" spans="1:11" x14ac:dyDescent="0.25">
      <c r="A884" t="s">
        <v>676</v>
      </c>
      <c r="B884" t="s">
        <v>934</v>
      </c>
      <c r="C884" s="3">
        <v>10728</v>
      </c>
      <c r="D884" s="3">
        <v>6212</v>
      </c>
      <c r="E884" s="3">
        <v>4877</v>
      </c>
      <c r="F884">
        <v>3843</v>
      </c>
      <c r="G884">
        <v>673</v>
      </c>
      <c r="H884">
        <v>49</v>
      </c>
      <c r="I884" t="s">
        <v>941</v>
      </c>
      <c r="J884">
        <v>10</v>
      </c>
      <c r="K884" t="s">
        <v>947</v>
      </c>
    </row>
    <row r="885" spans="1:11" x14ac:dyDescent="0.25">
      <c r="A885" t="s">
        <v>138</v>
      </c>
      <c r="B885" t="s">
        <v>935</v>
      </c>
      <c r="C885" s="3">
        <v>5543</v>
      </c>
      <c r="D885" s="3">
        <v>578</v>
      </c>
      <c r="E885" s="3">
        <v>9197</v>
      </c>
      <c r="F885">
        <v>3411</v>
      </c>
      <c r="G885">
        <v>1554</v>
      </c>
      <c r="H885">
        <v>85</v>
      </c>
      <c r="I885" t="s">
        <v>940</v>
      </c>
      <c r="J885">
        <v>8</v>
      </c>
      <c r="K885" t="s">
        <v>947</v>
      </c>
    </row>
    <row r="886" spans="1:11" x14ac:dyDescent="0.25">
      <c r="A886" t="s">
        <v>327</v>
      </c>
      <c r="B886" t="s">
        <v>936</v>
      </c>
      <c r="C886" s="3">
        <v>10935</v>
      </c>
      <c r="D886" s="3">
        <v>6051</v>
      </c>
      <c r="E886" s="3">
        <v>9852</v>
      </c>
      <c r="F886">
        <v>3927</v>
      </c>
      <c r="G886">
        <v>957</v>
      </c>
      <c r="H886">
        <v>24</v>
      </c>
      <c r="I886" t="s">
        <v>938</v>
      </c>
      <c r="J886">
        <v>5</v>
      </c>
      <c r="K886" t="s">
        <v>951</v>
      </c>
    </row>
    <row r="887" spans="1:11" x14ac:dyDescent="0.25">
      <c r="A887" t="s">
        <v>618</v>
      </c>
      <c r="B887" t="s">
        <v>936</v>
      </c>
      <c r="C887" s="3">
        <v>9152</v>
      </c>
      <c r="D887" s="3">
        <v>4590</v>
      </c>
      <c r="E887" s="3">
        <v>4077</v>
      </c>
      <c r="F887">
        <v>4141</v>
      </c>
      <c r="G887">
        <v>421</v>
      </c>
      <c r="H887">
        <v>94</v>
      </c>
      <c r="I887" t="s">
        <v>938</v>
      </c>
      <c r="J887">
        <v>10</v>
      </c>
      <c r="K887" t="s">
        <v>947</v>
      </c>
    </row>
    <row r="888" spans="1:11" x14ac:dyDescent="0.25">
      <c r="A888" t="s">
        <v>677</v>
      </c>
      <c r="B888" t="s">
        <v>936</v>
      </c>
      <c r="C888" s="3">
        <v>2238</v>
      </c>
      <c r="D888" s="3">
        <v>-355</v>
      </c>
      <c r="E888" s="3">
        <v>6678</v>
      </c>
      <c r="F888">
        <v>1970</v>
      </c>
      <c r="G888">
        <v>623</v>
      </c>
      <c r="H888">
        <v>103</v>
      </c>
      <c r="I888" t="s">
        <v>940</v>
      </c>
      <c r="J888">
        <v>8</v>
      </c>
      <c r="K888" t="s">
        <v>951</v>
      </c>
    </row>
    <row r="889" spans="1:11" x14ac:dyDescent="0.25">
      <c r="A889" t="s">
        <v>653</v>
      </c>
      <c r="B889" t="s">
        <v>935</v>
      </c>
      <c r="C889" s="3">
        <v>4552</v>
      </c>
      <c r="D889" s="3">
        <v>2469</v>
      </c>
      <c r="E889" s="3">
        <v>9373</v>
      </c>
      <c r="F889">
        <v>1181</v>
      </c>
      <c r="G889">
        <v>902</v>
      </c>
      <c r="H889">
        <v>105</v>
      </c>
      <c r="I889" t="s">
        <v>938</v>
      </c>
      <c r="J889">
        <v>7</v>
      </c>
      <c r="K889" t="s">
        <v>949</v>
      </c>
    </row>
    <row r="890" spans="1:11" x14ac:dyDescent="0.25">
      <c r="A890" t="s">
        <v>678</v>
      </c>
      <c r="B890" t="s">
        <v>936</v>
      </c>
      <c r="C890" s="3">
        <v>10668</v>
      </c>
      <c r="D890" s="3">
        <v>7959</v>
      </c>
      <c r="E890" s="3">
        <v>8507</v>
      </c>
      <c r="F890">
        <v>2332</v>
      </c>
      <c r="G890">
        <v>377</v>
      </c>
      <c r="H890">
        <v>102</v>
      </c>
      <c r="I890" t="s">
        <v>938</v>
      </c>
      <c r="J890">
        <v>8</v>
      </c>
      <c r="K890" t="s">
        <v>950</v>
      </c>
    </row>
    <row r="891" spans="1:11" x14ac:dyDescent="0.25">
      <c r="A891" t="s">
        <v>679</v>
      </c>
      <c r="B891" t="s">
        <v>936</v>
      </c>
      <c r="C891" s="3">
        <v>3867</v>
      </c>
      <c r="D891" s="3">
        <v>-1718</v>
      </c>
      <c r="E891" s="3">
        <v>5756</v>
      </c>
      <c r="F891">
        <v>3970</v>
      </c>
      <c r="G891">
        <v>1615</v>
      </c>
      <c r="H891">
        <v>69</v>
      </c>
      <c r="I891" t="s">
        <v>939</v>
      </c>
      <c r="J891">
        <v>8</v>
      </c>
      <c r="K891" t="s">
        <v>950</v>
      </c>
    </row>
    <row r="892" spans="1:11" x14ac:dyDescent="0.25">
      <c r="A892" t="s">
        <v>680</v>
      </c>
      <c r="B892" t="s">
        <v>936</v>
      </c>
      <c r="C892" s="3">
        <v>4898</v>
      </c>
      <c r="D892" s="3">
        <v>984</v>
      </c>
      <c r="E892" s="3">
        <v>6546</v>
      </c>
      <c r="F892">
        <v>2420</v>
      </c>
      <c r="G892">
        <v>1494</v>
      </c>
      <c r="H892">
        <v>115</v>
      </c>
      <c r="I892" t="s">
        <v>942</v>
      </c>
      <c r="J892">
        <v>1</v>
      </c>
      <c r="K892" t="s">
        <v>953</v>
      </c>
    </row>
    <row r="893" spans="1:11" x14ac:dyDescent="0.25">
      <c r="A893" t="s">
        <v>603</v>
      </c>
      <c r="B893" t="s">
        <v>937</v>
      </c>
      <c r="C893" s="3">
        <v>7024</v>
      </c>
      <c r="D893" s="3">
        <v>1719</v>
      </c>
      <c r="E893" s="3">
        <v>9292</v>
      </c>
      <c r="F893">
        <v>4063</v>
      </c>
      <c r="G893">
        <v>1242</v>
      </c>
      <c r="H893">
        <v>93</v>
      </c>
      <c r="I893" t="s">
        <v>942</v>
      </c>
      <c r="J893">
        <v>3</v>
      </c>
      <c r="K893" t="s">
        <v>954</v>
      </c>
    </row>
    <row r="894" spans="1:11" x14ac:dyDescent="0.25">
      <c r="A894" t="s">
        <v>681</v>
      </c>
      <c r="B894" t="s">
        <v>936</v>
      </c>
      <c r="C894" s="3">
        <v>5346</v>
      </c>
      <c r="D894" s="3">
        <v>-1033</v>
      </c>
      <c r="E894" s="3">
        <v>5476</v>
      </c>
      <c r="F894">
        <v>4470</v>
      </c>
      <c r="G894">
        <v>1909</v>
      </c>
      <c r="H894">
        <v>58</v>
      </c>
      <c r="I894" t="s">
        <v>938</v>
      </c>
      <c r="J894">
        <v>1</v>
      </c>
      <c r="K894" t="s">
        <v>947</v>
      </c>
    </row>
    <row r="895" spans="1:11" x14ac:dyDescent="0.25">
      <c r="A895" t="s">
        <v>251</v>
      </c>
      <c r="B895" t="s">
        <v>934</v>
      </c>
      <c r="C895" s="3">
        <v>8386</v>
      </c>
      <c r="D895" s="3">
        <v>5987</v>
      </c>
      <c r="E895" s="3">
        <v>4235</v>
      </c>
      <c r="F895">
        <v>1246</v>
      </c>
      <c r="G895">
        <v>1153</v>
      </c>
      <c r="H895">
        <v>118</v>
      </c>
      <c r="I895" t="s">
        <v>942</v>
      </c>
      <c r="J895">
        <v>6</v>
      </c>
      <c r="K895" t="s">
        <v>944</v>
      </c>
    </row>
    <row r="896" spans="1:11" x14ac:dyDescent="0.25">
      <c r="A896" t="s">
        <v>284</v>
      </c>
      <c r="B896" t="s">
        <v>934</v>
      </c>
      <c r="C896" s="3">
        <v>6164</v>
      </c>
      <c r="D896" s="3">
        <v>1849</v>
      </c>
      <c r="E896" s="3">
        <v>5365</v>
      </c>
      <c r="F896">
        <v>4063</v>
      </c>
      <c r="G896">
        <v>252</v>
      </c>
      <c r="H896">
        <v>61</v>
      </c>
      <c r="I896" t="s">
        <v>941</v>
      </c>
      <c r="J896">
        <v>3</v>
      </c>
      <c r="K896" t="s">
        <v>946</v>
      </c>
    </row>
    <row r="897" spans="1:11" x14ac:dyDescent="0.25">
      <c r="A897" t="s">
        <v>652</v>
      </c>
      <c r="B897" t="s">
        <v>935</v>
      </c>
      <c r="C897" s="3">
        <v>2876</v>
      </c>
      <c r="D897" s="3">
        <v>-2981</v>
      </c>
      <c r="E897" s="3">
        <v>8069</v>
      </c>
      <c r="F897">
        <v>4101</v>
      </c>
      <c r="G897">
        <v>1756</v>
      </c>
      <c r="H897">
        <v>56</v>
      </c>
      <c r="I897" t="s">
        <v>941</v>
      </c>
      <c r="J897">
        <v>6</v>
      </c>
      <c r="K897" t="s">
        <v>944</v>
      </c>
    </row>
    <row r="898" spans="1:11" x14ac:dyDescent="0.25">
      <c r="A898" t="s">
        <v>682</v>
      </c>
      <c r="B898" t="s">
        <v>934</v>
      </c>
      <c r="C898" s="3">
        <v>8793</v>
      </c>
      <c r="D898" s="3">
        <v>6161</v>
      </c>
      <c r="E898" s="3">
        <v>9384</v>
      </c>
      <c r="F898">
        <v>1044</v>
      </c>
      <c r="G898">
        <v>1588</v>
      </c>
      <c r="H898">
        <v>28</v>
      </c>
      <c r="I898" t="s">
        <v>941</v>
      </c>
      <c r="J898">
        <v>9</v>
      </c>
      <c r="K898" t="s">
        <v>947</v>
      </c>
    </row>
    <row r="899" spans="1:11" x14ac:dyDescent="0.25">
      <c r="A899" t="s">
        <v>683</v>
      </c>
      <c r="B899" t="s">
        <v>936</v>
      </c>
      <c r="C899" s="3">
        <v>4568</v>
      </c>
      <c r="D899" s="3">
        <v>829</v>
      </c>
      <c r="E899" s="3">
        <v>9542</v>
      </c>
      <c r="F899">
        <v>2772</v>
      </c>
      <c r="G899">
        <v>967</v>
      </c>
      <c r="H899">
        <v>103</v>
      </c>
      <c r="I899" t="s">
        <v>939</v>
      </c>
      <c r="J899">
        <v>7</v>
      </c>
      <c r="K899" t="s">
        <v>946</v>
      </c>
    </row>
    <row r="900" spans="1:11" x14ac:dyDescent="0.25">
      <c r="A900" t="s">
        <v>684</v>
      </c>
      <c r="B900" t="s">
        <v>934</v>
      </c>
      <c r="C900" s="3">
        <v>2777</v>
      </c>
      <c r="D900" s="3">
        <v>-418</v>
      </c>
      <c r="E900" s="3">
        <v>4605</v>
      </c>
      <c r="F900">
        <v>2757</v>
      </c>
      <c r="G900">
        <v>438</v>
      </c>
      <c r="H900">
        <v>93</v>
      </c>
      <c r="I900" t="s">
        <v>941</v>
      </c>
      <c r="J900">
        <v>7</v>
      </c>
      <c r="K900" t="s">
        <v>948</v>
      </c>
    </row>
    <row r="901" spans="1:11" x14ac:dyDescent="0.25">
      <c r="A901" t="s">
        <v>202</v>
      </c>
      <c r="B901" t="s">
        <v>936</v>
      </c>
      <c r="C901" s="3">
        <v>3137</v>
      </c>
      <c r="D901" s="3">
        <v>-1028</v>
      </c>
      <c r="E901" s="3">
        <v>7279</v>
      </c>
      <c r="F901">
        <v>2892</v>
      </c>
      <c r="G901">
        <v>1273</v>
      </c>
      <c r="H901">
        <v>92</v>
      </c>
      <c r="I901" t="s">
        <v>940</v>
      </c>
      <c r="J901">
        <v>10</v>
      </c>
      <c r="K901" t="s">
        <v>946</v>
      </c>
    </row>
    <row r="902" spans="1:11" x14ac:dyDescent="0.25">
      <c r="A902" t="s">
        <v>685</v>
      </c>
      <c r="B902" t="s">
        <v>936</v>
      </c>
      <c r="C902" s="3">
        <v>4311</v>
      </c>
      <c r="D902" s="3">
        <v>-569</v>
      </c>
      <c r="E902" s="3">
        <v>7001</v>
      </c>
      <c r="F902">
        <v>3225</v>
      </c>
      <c r="G902">
        <v>1655</v>
      </c>
      <c r="H902">
        <v>107</v>
      </c>
      <c r="I902" t="s">
        <v>939</v>
      </c>
      <c r="J902">
        <v>1</v>
      </c>
      <c r="K902" t="s">
        <v>948</v>
      </c>
    </row>
    <row r="903" spans="1:11" x14ac:dyDescent="0.25">
      <c r="A903" t="s">
        <v>542</v>
      </c>
      <c r="B903" t="s">
        <v>934</v>
      </c>
      <c r="C903" s="3">
        <v>2508</v>
      </c>
      <c r="D903" s="3">
        <v>-3234</v>
      </c>
      <c r="E903" s="3">
        <v>6331</v>
      </c>
      <c r="F903">
        <v>4034</v>
      </c>
      <c r="G903">
        <v>1708</v>
      </c>
      <c r="H903">
        <v>82</v>
      </c>
      <c r="I903" t="s">
        <v>938</v>
      </c>
      <c r="J903">
        <v>8</v>
      </c>
      <c r="K903" t="s">
        <v>951</v>
      </c>
    </row>
    <row r="904" spans="1:11" x14ac:dyDescent="0.25">
      <c r="A904" t="s">
        <v>686</v>
      </c>
      <c r="B904" t="s">
        <v>935</v>
      </c>
      <c r="C904" s="3">
        <v>2585</v>
      </c>
      <c r="D904" s="3">
        <v>-1083</v>
      </c>
      <c r="E904" s="3">
        <v>5761</v>
      </c>
      <c r="F904">
        <v>2131</v>
      </c>
      <c r="G904">
        <v>1537</v>
      </c>
      <c r="H904">
        <v>111</v>
      </c>
      <c r="I904" t="s">
        <v>939</v>
      </c>
      <c r="J904">
        <v>4</v>
      </c>
      <c r="K904" t="s">
        <v>948</v>
      </c>
    </row>
    <row r="905" spans="1:11" x14ac:dyDescent="0.25">
      <c r="A905" t="s">
        <v>687</v>
      </c>
      <c r="B905" t="s">
        <v>937</v>
      </c>
      <c r="C905" s="3">
        <v>6208</v>
      </c>
      <c r="D905" s="3">
        <v>1957</v>
      </c>
      <c r="E905" s="3">
        <v>4259</v>
      </c>
      <c r="F905">
        <v>3884</v>
      </c>
      <c r="G905">
        <v>367</v>
      </c>
      <c r="H905">
        <v>105</v>
      </c>
      <c r="I905" t="s">
        <v>941</v>
      </c>
      <c r="J905">
        <v>6</v>
      </c>
      <c r="K905" t="s">
        <v>946</v>
      </c>
    </row>
    <row r="906" spans="1:11" x14ac:dyDescent="0.25">
      <c r="A906" t="s">
        <v>688</v>
      </c>
      <c r="B906" t="s">
        <v>935</v>
      </c>
      <c r="C906" s="3">
        <v>2500</v>
      </c>
      <c r="D906" s="3">
        <v>-3137</v>
      </c>
      <c r="E906" s="3">
        <v>4548</v>
      </c>
      <c r="F906">
        <v>3872</v>
      </c>
      <c r="G906">
        <v>1765</v>
      </c>
      <c r="H906">
        <v>118</v>
      </c>
      <c r="I906" t="s">
        <v>939</v>
      </c>
      <c r="J906">
        <v>5</v>
      </c>
      <c r="K906" t="s">
        <v>944</v>
      </c>
    </row>
    <row r="907" spans="1:11" x14ac:dyDescent="0.25">
      <c r="A907" t="s">
        <v>689</v>
      </c>
      <c r="B907" t="s">
        <v>937</v>
      </c>
      <c r="C907" s="3">
        <v>10406</v>
      </c>
      <c r="D907" s="3">
        <v>8220</v>
      </c>
      <c r="E907" s="3">
        <v>6216</v>
      </c>
      <c r="F907">
        <v>1317</v>
      </c>
      <c r="G907">
        <v>869</v>
      </c>
      <c r="H907">
        <v>97</v>
      </c>
      <c r="I907" t="s">
        <v>942</v>
      </c>
      <c r="J907">
        <v>5</v>
      </c>
      <c r="K907" t="s">
        <v>953</v>
      </c>
    </row>
    <row r="908" spans="1:11" x14ac:dyDescent="0.25">
      <c r="A908" t="s">
        <v>58</v>
      </c>
      <c r="B908" t="s">
        <v>935</v>
      </c>
      <c r="C908" s="3">
        <v>7896</v>
      </c>
      <c r="D908" s="3">
        <v>5327</v>
      </c>
      <c r="E908" s="3">
        <v>7301</v>
      </c>
      <c r="F908">
        <v>989</v>
      </c>
      <c r="G908">
        <v>1580</v>
      </c>
      <c r="H908">
        <v>24</v>
      </c>
      <c r="I908" t="s">
        <v>940</v>
      </c>
      <c r="J908">
        <v>4</v>
      </c>
      <c r="K908" t="s">
        <v>951</v>
      </c>
    </row>
    <row r="909" spans="1:11" x14ac:dyDescent="0.25">
      <c r="A909" t="s">
        <v>690</v>
      </c>
      <c r="B909" t="s">
        <v>937</v>
      </c>
      <c r="C909" s="3">
        <v>10969</v>
      </c>
      <c r="D909" s="3">
        <v>8073</v>
      </c>
      <c r="E909" s="3">
        <v>7304</v>
      </c>
      <c r="F909">
        <v>2250</v>
      </c>
      <c r="G909">
        <v>646</v>
      </c>
      <c r="H909">
        <v>115</v>
      </c>
      <c r="I909" t="s">
        <v>941</v>
      </c>
      <c r="J909">
        <v>10</v>
      </c>
      <c r="K909" t="s">
        <v>949</v>
      </c>
    </row>
    <row r="910" spans="1:11" x14ac:dyDescent="0.25">
      <c r="A910" t="s">
        <v>616</v>
      </c>
      <c r="B910" t="s">
        <v>936</v>
      </c>
      <c r="C910" s="3">
        <v>7683</v>
      </c>
      <c r="D910" s="3">
        <v>2126</v>
      </c>
      <c r="E910" s="3">
        <v>6966</v>
      </c>
      <c r="F910">
        <v>3950</v>
      </c>
      <c r="G910">
        <v>1607</v>
      </c>
      <c r="H910">
        <v>109</v>
      </c>
      <c r="I910" t="s">
        <v>939</v>
      </c>
      <c r="J910">
        <v>10</v>
      </c>
      <c r="K910" t="s">
        <v>951</v>
      </c>
    </row>
    <row r="911" spans="1:11" x14ac:dyDescent="0.25">
      <c r="A911" t="s">
        <v>691</v>
      </c>
      <c r="B911" t="s">
        <v>935</v>
      </c>
      <c r="C911" s="3">
        <v>7576</v>
      </c>
      <c r="D911" s="3">
        <v>2163</v>
      </c>
      <c r="E911" s="3">
        <v>5564</v>
      </c>
      <c r="F911">
        <v>4878</v>
      </c>
      <c r="G911">
        <v>535</v>
      </c>
      <c r="H911">
        <v>21</v>
      </c>
      <c r="I911" t="s">
        <v>938</v>
      </c>
      <c r="J911">
        <v>4</v>
      </c>
      <c r="K911" t="s">
        <v>954</v>
      </c>
    </row>
    <row r="912" spans="1:11" x14ac:dyDescent="0.25">
      <c r="A912" t="s">
        <v>164</v>
      </c>
      <c r="B912" t="s">
        <v>936</v>
      </c>
      <c r="C912" s="3">
        <v>11714</v>
      </c>
      <c r="D912" s="3">
        <v>5826</v>
      </c>
      <c r="E912" s="3">
        <v>6826</v>
      </c>
      <c r="F912">
        <v>4631</v>
      </c>
      <c r="G912">
        <v>1257</v>
      </c>
      <c r="H912">
        <v>57</v>
      </c>
      <c r="I912" t="s">
        <v>942</v>
      </c>
      <c r="J912">
        <v>1</v>
      </c>
      <c r="K912" t="s">
        <v>946</v>
      </c>
    </row>
    <row r="913" spans="1:11" x14ac:dyDescent="0.25">
      <c r="A913" t="s">
        <v>692</v>
      </c>
      <c r="B913" t="s">
        <v>934</v>
      </c>
      <c r="C913" s="3">
        <v>4626</v>
      </c>
      <c r="D913" s="3">
        <v>-781</v>
      </c>
      <c r="E913" s="3">
        <v>8408</v>
      </c>
      <c r="F913">
        <v>3464</v>
      </c>
      <c r="G913">
        <v>1943</v>
      </c>
      <c r="H913">
        <v>114</v>
      </c>
      <c r="I913" t="s">
        <v>939</v>
      </c>
      <c r="J913">
        <v>8</v>
      </c>
      <c r="K913" t="s">
        <v>952</v>
      </c>
    </row>
    <row r="914" spans="1:11" x14ac:dyDescent="0.25">
      <c r="A914" t="s">
        <v>397</v>
      </c>
      <c r="B914" t="s">
        <v>937</v>
      </c>
      <c r="C914" s="3">
        <v>3879</v>
      </c>
      <c r="D914" s="3">
        <v>1193</v>
      </c>
      <c r="E914" s="3">
        <v>6205</v>
      </c>
      <c r="F914">
        <v>1151</v>
      </c>
      <c r="G914">
        <v>1535</v>
      </c>
      <c r="H914">
        <v>35</v>
      </c>
      <c r="I914" t="s">
        <v>939</v>
      </c>
      <c r="J914">
        <v>9</v>
      </c>
      <c r="K914" t="s">
        <v>945</v>
      </c>
    </row>
    <row r="915" spans="1:11" x14ac:dyDescent="0.25">
      <c r="A915" t="s">
        <v>685</v>
      </c>
      <c r="B915" t="s">
        <v>934</v>
      </c>
      <c r="C915" s="3">
        <v>6842</v>
      </c>
      <c r="D915" s="3">
        <v>1883</v>
      </c>
      <c r="E915" s="3">
        <v>8495</v>
      </c>
      <c r="F915">
        <v>3484</v>
      </c>
      <c r="G915">
        <v>1475</v>
      </c>
      <c r="H915">
        <v>66</v>
      </c>
      <c r="I915" t="s">
        <v>940</v>
      </c>
      <c r="J915">
        <v>7</v>
      </c>
      <c r="K915" t="s">
        <v>948</v>
      </c>
    </row>
    <row r="916" spans="1:11" x14ac:dyDescent="0.25">
      <c r="A916" t="s">
        <v>693</v>
      </c>
      <c r="B916" t="s">
        <v>937</v>
      </c>
      <c r="C916" s="3">
        <v>6459</v>
      </c>
      <c r="D916" s="3">
        <v>2665</v>
      </c>
      <c r="E916" s="3">
        <v>4749</v>
      </c>
      <c r="F916">
        <v>2396</v>
      </c>
      <c r="G916">
        <v>1398</v>
      </c>
      <c r="H916">
        <v>43</v>
      </c>
      <c r="I916" t="s">
        <v>940</v>
      </c>
      <c r="J916">
        <v>5</v>
      </c>
      <c r="K916" t="s">
        <v>950</v>
      </c>
    </row>
    <row r="917" spans="1:11" x14ac:dyDescent="0.25">
      <c r="A917" t="s">
        <v>694</v>
      </c>
      <c r="B917" t="s">
        <v>934</v>
      </c>
      <c r="C917" s="3">
        <v>6525</v>
      </c>
      <c r="D917" s="3">
        <v>3047</v>
      </c>
      <c r="E917" s="3">
        <v>7027</v>
      </c>
      <c r="F917">
        <v>1817</v>
      </c>
      <c r="G917">
        <v>1661</v>
      </c>
      <c r="H917">
        <v>61</v>
      </c>
      <c r="I917" t="s">
        <v>939</v>
      </c>
      <c r="J917">
        <v>6</v>
      </c>
      <c r="K917" t="s">
        <v>953</v>
      </c>
    </row>
    <row r="918" spans="1:11" x14ac:dyDescent="0.25">
      <c r="A918" t="s">
        <v>695</v>
      </c>
      <c r="B918" t="s">
        <v>936</v>
      </c>
      <c r="C918" s="3">
        <v>9486</v>
      </c>
      <c r="D918" s="3">
        <v>7053</v>
      </c>
      <c r="E918" s="3">
        <v>4464</v>
      </c>
      <c r="F918">
        <v>1672</v>
      </c>
      <c r="G918">
        <v>761</v>
      </c>
      <c r="H918">
        <v>19</v>
      </c>
      <c r="I918" t="s">
        <v>939</v>
      </c>
      <c r="J918">
        <v>1</v>
      </c>
      <c r="K918" t="s">
        <v>950</v>
      </c>
    </row>
    <row r="919" spans="1:11" x14ac:dyDescent="0.25">
      <c r="A919" t="s">
        <v>696</v>
      </c>
      <c r="B919" t="s">
        <v>937</v>
      </c>
      <c r="C919" s="3">
        <v>10097</v>
      </c>
      <c r="D919" s="3">
        <v>7264</v>
      </c>
      <c r="E919" s="3">
        <v>8958</v>
      </c>
      <c r="F919">
        <v>1703</v>
      </c>
      <c r="G919">
        <v>1130</v>
      </c>
      <c r="H919">
        <v>18</v>
      </c>
      <c r="I919" t="s">
        <v>940</v>
      </c>
      <c r="J919">
        <v>7</v>
      </c>
      <c r="K919" t="s">
        <v>951</v>
      </c>
    </row>
    <row r="920" spans="1:11" x14ac:dyDescent="0.25">
      <c r="A920" t="s">
        <v>697</v>
      </c>
      <c r="B920" t="s">
        <v>937</v>
      </c>
      <c r="C920" s="3">
        <v>9805</v>
      </c>
      <c r="D920" s="3">
        <v>7026</v>
      </c>
      <c r="E920" s="3">
        <v>4537</v>
      </c>
      <c r="F920">
        <v>1242</v>
      </c>
      <c r="G920">
        <v>1537</v>
      </c>
      <c r="H920">
        <v>32</v>
      </c>
      <c r="I920" t="s">
        <v>939</v>
      </c>
      <c r="J920">
        <v>4</v>
      </c>
      <c r="K920" t="s">
        <v>954</v>
      </c>
    </row>
    <row r="921" spans="1:11" x14ac:dyDescent="0.25">
      <c r="A921" t="s">
        <v>698</v>
      </c>
      <c r="B921" t="s">
        <v>937</v>
      </c>
      <c r="C921" s="3">
        <v>8753</v>
      </c>
      <c r="D921" s="3">
        <v>3628</v>
      </c>
      <c r="E921" s="3">
        <v>8826</v>
      </c>
      <c r="F921">
        <v>3339</v>
      </c>
      <c r="G921">
        <v>1786</v>
      </c>
      <c r="H921">
        <v>95</v>
      </c>
      <c r="I921" t="s">
        <v>938</v>
      </c>
      <c r="J921">
        <v>1</v>
      </c>
      <c r="K921" t="s">
        <v>952</v>
      </c>
    </row>
    <row r="922" spans="1:11" x14ac:dyDescent="0.25">
      <c r="A922" t="s">
        <v>699</v>
      </c>
      <c r="B922" t="s">
        <v>934</v>
      </c>
      <c r="C922" s="3">
        <v>2630</v>
      </c>
      <c r="D922" s="3">
        <v>-2097</v>
      </c>
      <c r="E922" s="3">
        <v>5008</v>
      </c>
      <c r="F922">
        <v>3699</v>
      </c>
      <c r="G922">
        <v>1028</v>
      </c>
      <c r="H922">
        <v>98</v>
      </c>
      <c r="I922" t="s">
        <v>941</v>
      </c>
      <c r="J922">
        <v>9</v>
      </c>
      <c r="K922" t="s">
        <v>951</v>
      </c>
    </row>
    <row r="923" spans="1:11" x14ac:dyDescent="0.25">
      <c r="A923" t="s">
        <v>389</v>
      </c>
      <c r="B923" t="s">
        <v>935</v>
      </c>
      <c r="C923" s="3">
        <v>2370</v>
      </c>
      <c r="D923" s="3">
        <v>-2342</v>
      </c>
      <c r="E923" s="3">
        <v>5018</v>
      </c>
      <c r="F923">
        <v>3611</v>
      </c>
      <c r="G923">
        <v>1101</v>
      </c>
      <c r="H923">
        <v>43</v>
      </c>
      <c r="I923" t="s">
        <v>942</v>
      </c>
      <c r="J923">
        <v>6</v>
      </c>
      <c r="K923" t="s">
        <v>946</v>
      </c>
    </row>
    <row r="924" spans="1:11" x14ac:dyDescent="0.25">
      <c r="A924" t="s">
        <v>512</v>
      </c>
      <c r="B924" t="s">
        <v>936</v>
      </c>
      <c r="C924" s="3">
        <v>9607</v>
      </c>
      <c r="D924" s="3">
        <v>5618</v>
      </c>
      <c r="E924" s="3">
        <v>9997</v>
      </c>
      <c r="F924">
        <v>3439</v>
      </c>
      <c r="G924">
        <v>550</v>
      </c>
      <c r="H924">
        <v>52</v>
      </c>
      <c r="I924" t="s">
        <v>940</v>
      </c>
      <c r="J924">
        <v>8</v>
      </c>
      <c r="K924" t="s">
        <v>943</v>
      </c>
    </row>
    <row r="925" spans="1:11" x14ac:dyDescent="0.25">
      <c r="A925" t="s">
        <v>700</v>
      </c>
      <c r="B925" t="s">
        <v>937</v>
      </c>
      <c r="C925" s="3">
        <v>2309</v>
      </c>
      <c r="D925" s="3">
        <v>-2431</v>
      </c>
      <c r="E925" s="3">
        <v>8228</v>
      </c>
      <c r="F925">
        <v>3800</v>
      </c>
      <c r="G925">
        <v>940</v>
      </c>
      <c r="H925">
        <v>109</v>
      </c>
      <c r="I925" t="s">
        <v>941</v>
      </c>
      <c r="J925">
        <v>5</v>
      </c>
      <c r="K925" t="s">
        <v>953</v>
      </c>
    </row>
    <row r="926" spans="1:11" x14ac:dyDescent="0.25">
      <c r="A926" t="s">
        <v>701</v>
      </c>
      <c r="B926" t="s">
        <v>937</v>
      </c>
      <c r="C926" s="3">
        <v>10170</v>
      </c>
      <c r="D926" s="3">
        <v>8088</v>
      </c>
      <c r="E926" s="3">
        <v>8540</v>
      </c>
      <c r="F926">
        <v>1237</v>
      </c>
      <c r="G926">
        <v>845</v>
      </c>
      <c r="H926">
        <v>31</v>
      </c>
      <c r="I926" t="s">
        <v>938</v>
      </c>
      <c r="J926">
        <v>2</v>
      </c>
      <c r="K926" t="s">
        <v>948</v>
      </c>
    </row>
    <row r="927" spans="1:11" x14ac:dyDescent="0.25">
      <c r="A927" t="s">
        <v>336</v>
      </c>
      <c r="B927" t="s">
        <v>936</v>
      </c>
      <c r="C927" s="3">
        <v>7452</v>
      </c>
      <c r="D927" s="3">
        <v>5445</v>
      </c>
      <c r="E927" s="3">
        <v>5336</v>
      </c>
      <c r="F927">
        <v>1402</v>
      </c>
      <c r="G927">
        <v>605</v>
      </c>
      <c r="H927">
        <v>37</v>
      </c>
      <c r="I927" t="s">
        <v>942</v>
      </c>
      <c r="J927">
        <v>9</v>
      </c>
      <c r="K927" t="s">
        <v>951</v>
      </c>
    </row>
    <row r="928" spans="1:11" x14ac:dyDescent="0.25">
      <c r="A928" t="s">
        <v>646</v>
      </c>
      <c r="B928" t="s">
        <v>937</v>
      </c>
      <c r="C928" s="3">
        <v>9848</v>
      </c>
      <c r="D928" s="3">
        <v>5554</v>
      </c>
      <c r="E928" s="3">
        <v>9221</v>
      </c>
      <c r="F928">
        <v>2967</v>
      </c>
      <c r="G928">
        <v>1327</v>
      </c>
      <c r="H928">
        <v>10</v>
      </c>
      <c r="I928" t="s">
        <v>939</v>
      </c>
      <c r="J928">
        <v>8</v>
      </c>
      <c r="K928" t="s">
        <v>947</v>
      </c>
    </row>
    <row r="929" spans="1:11" x14ac:dyDescent="0.25">
      <c r="A929" t="s">
        <v>702</v>
      </c>
      <c r="B929" t="s">
        <v>935</v>
      </c>
      <c r="C929" s="3">
        <v>4255</v>
      </c>
      <c r="D929" s="3">
        <v>1658</v>
      </c>
      <c r="E929" s="3">
        <v>6480</v>
      </c>
      <c r="F929">
        <v>1709</v>
      </c>
      <c r="G929">
        <v>888</v>
      </c>
      <c r="H929">
        <v>111</v>
      </c>
      <c r="I929" t="s">
        <v>942</v>
      </c>
      <c r="J929">
        <v>8</v>
      </c>
      <c r="K929" t="s">
        <v>948</v>
      </c>
    </row>
    <row r="930" spans="1:11" x14ac:dyDescent="0.25">
      <c r="A930" t="s">
        <v>703</v>
      </c>
      <c r="B930" t="s">
        <v>936</v>
      </c>
      <c r="C930" s="3">
        <v>10562</v>
      </c>
      <c r="D930" s="3">
        <v>7528</v>
      </c>
      <c r="E930" s="3">
        <v>6482</v>
      </c>
      <c r="F930">
        <v>1896</v>
      </c>
      <c r="G930">
        <v>1138</v>
      </c>
      <c r="H930">
        <v>75</v>
      </c>
      <c r="I930" t="s">
        <v>939</v>
      </c>
      <c r="J930">
        <v>6</v>
      </c>
      <c r="K930" t="s">
        <v>944</v>
      </c>
    </row>
    <row r="931" spans="1:11" x14ac:dyDescent="0.25">
      <c r="A931" t="s">
        <v>704</v>
      </c>
      <c r="B931" t="s">
        <v>934</v>
      </c>
      <c r="C931" s="3">
        <v>9898</v>
      </c>
      <c r="D931" s="3">
        <v>5526</v>
      </c>
      <c r="E931" s="3">
        <v>8092</v>
      </c>
      <c r="F931">
        <v>3805</v>
      </c>
      <c r="G931">
        <v>567</v>
      </c>
      <c r="H931">
        <v>19</v>
      </c>
      <c r="I931" t="s">
        <v>941</v>
      </c>
      <c r="J931">
        <v>5</v>
      </c>
      <c r="K931" t="s">
        <v>943</v>
      </c>
    </row>
    <row r="932" spans="1:11" x14ac:dyDescent="0.25">
      <c r="A932" t="s">
        <v>705</v>
      </c>
      <c r="B932" t="s">
        <v>937</v>
      </c>
      <c r="C932" s="3">
        <v>11208</v>
      </c>
      <c r="D932" s="3">
        <v>9551</v>
      </c>
      <c r="E932" s="3">
        <v>5966</v>
      </c>
      <c r="F932">
        <v>1388</v>
      </c>
      <c r="G932">
        <v>269</v>
      </c>
      <c r="H932">
        <v>41</v>
      </c>
      <c r="I932" t="s">
        <v>939</v>
      </c>
      <c r="J932">
        <v>5</v>
      </c>
      <c r="K932" t="s">
        <v>945</v>
      </c>
    </row>
    <row r="933" spans="1:11" x14ac:dyDescent="0.25">
      <c r="A933" t="s">
        <v>472</v>
      </c>
      <c r="B933" t="s">
        <v>936</v>
      </c>
      <c r="C933" s="3">
        <v>11732</v>
      </c>
      <c r="D933" s="3">
        <v>5998</v>
      </c>
      <c r="E933" s="3">
        <v>6764</v>
      </c>
      <c r="F933">
        <v>4870</v>
      </c>
      <c r="G933">
        <v>864</v>
      </c>
      <c r="H933">
        <v>43</v>
      </c>
      <c r="I933" t="s">
        <v>939</v>
      </c>
      <c r="J933">
        <v>10</v>
      </c>
      <c r="K933" t="s">
        <v>949</v>
      </c>
    </row>
    <row r="934" spans="1:11" x14ac:dyDescent="0.25">
      <c r="A934" t="s">
        <v>512</v>
      </c>
      <c r="B934" t="s">
        <v>934</v>
      </c>
      <c r="C934" s="3">
        <v>4226</v>
      </c>
      <c r="D934" s="3">
        <v>1146</v>
      </c>
      <c r="E934" s="3">
        <v>8626</v>
      </c>
      <c r="F934">
        <v>1615</v>
      </c>
      <c r="G934">
        <v>1465</v>
      </c>
      <c r="H934">
        <v>31</v>
      </c>
      <c r="I934" t="s">
        <v>940</v>
      </c>
      <c r="J934">
        <v>9</v>
      </c>
      <c r="K934" t="s">
        <v>943</v>
      </c>
    </row>
    <row r="935" spans="1:11" x14ac:dyDescent="0.25">
      <c r="A935" t="s">
        <v>706</v>
      </c>
      <c r="B935" t="s">
        <v>935</v>
      </c>
      <c r="C935" s="3">
        <v>2618</v>
      </c>
      <c r="D935" s="3">
        <v>-593</v>
      </c>
      <c r="E935" s="3">
        <v>4242</v>
      </c>
      <c r="F935">
        <v>2573</v>
      </c>
      <c r="G935">
        <v>638</v>
      </c>
      <c r="H935">
        <v>84</v>
      </c>
      <c r="I935" t="s">
        <v>941</v>
      </c>
      <c r="J935">
        <v>3</v>
      </c>
      <c r="K935" t="s">
        <v>946</v>
      </c>
    </row>
    <row r="936" spans="1:11" x14ac:dyDescent="0.25">
      <c r="A936" t="s">
        <v>369</v>
      </c>
      <c r="B936" t="s">
        <v>934</v>
      </c>
      <c r="C936" s="3">
        <v>10564</v>
      </c>
      <c r="D936" s="3">
        <v>6497</v>
      </c>
      <c r="E936" s="3">
        <v>4667</v>
      </c>
      <c r="F936">
        <v>3013</v>
      </c>
      <c r="G936">
        <v>1054</v>
      </c>
      <c r="H936">
        <v>106</v>
      </c>
      <c r="I936" t="s">
        <v>938</v>
      </c>
      <c r="J936">
        <v>2</v>
      </c>
      <c r="K936" t="s">
        <v>954</v>
      </c>
    </row>
    <row r="937" spans="1:11" x14ac:dyDescent="0.25">
      <c r="A937" t="s">
        <v>707</v>
      </c>
      <c r="B937" t="s">
        <v>935</v>
      </c>
      <c r="C937" s="3">
        <v>11895</v>
      </c>
      <c r="D937" s="3">
        <v>7661</v>
      </c>
      <c r="E937" s="3">
        <v>6455</v>
      </c>
      <c r="F937">
        <v>2697</v>
      </c>
      <c r="G937">
        <v>1537</v>
      </c>
      <c r="H937">
        <v>103</v>
      </c>
      <c r="I937" t="s">
        <v>939</v>
      </c>
      <c r="J937">
        <v>5</v>
      </c>
      <c r="K937" t="s">
        <v>943</v>
      </c>
    </row>
    <row r="938" spans="1:11" x14ac:dyDescent="0.25">
      <c r="A938" t="s">
        <v>191</v>
      </c>
      <c r="B938" t="s">
        <v>935</v>
      </c>
      <c r="C938" s="3">
        <v>9670</v>
      </c>
      <c r="D938" s="3">
        <v>4169</v>
      </c>
      <c r="E938" s="3">
        <v>4148</v>
      </c>
      <c r="F938">
        <v>3737</v>
      </c>
      <c r="G938">
        <v>1764</v>
      </c>
      <c r="H938">
        <v>15</v>
      </c>
      <c r="I938" t="s">
        <v>939</v>
      </c>
      <c r="J938">
        <v>4</v>
      </c>
      <c r="K938" t="s">
        <v>947</v>
      </c>
    </row>
    <row r="939" spans="1:11" x14ac:dyDescent="0.25">
      <c r="A939" t="s">
        <v>708</v>
      </c>
      <c r="B939" t="s">
        <v>935</v>
      </c>
      <c r="C939" s="3">
        <v>2550</v>
      </c>
      <c r="D939" s="3">
        <v>-3118</v>
      </c>
      <c r="E939" s="3">
        <v>9024</v>
      </c>
      <c r="F939">
        <v>4840</v>
      </c>
      <c r="G939">
        <v>828</v>
      </c>
      <c r="H939">
        <v>58</v>
      </c>
      <c r="I939" t="s">
        <v>942</v>
      </c>
      <c r="J939">
        <v>7</v>
      </c>
      <c r="K939" t="s">
        <v>952</v>
      </c>
    </row>
    <row r="940" spans="1:11" x14ac:dyDescent="0.25">
      <c r="A940" t="s">
        <v>709</v>
      </c>
      <c r="B940" t="s">
        <v>937</v>
      </c>
      <c r="C940" s="3">
        <v>8497</v>
      </c>
      <c r="D940" s="3">
        <v>3674</v>
      </c>
      <c r="E940" s="3">
        <v>5810</v>
      </c>
      <c r="F940">
        <v>4013</v>
      </c>
      <c r="G940">
        <v>810</v>
      </c>
      <c r="H940">
        <v>26</v>
      </c>
      <c r="I940" t="s">
        <v>940</v>
      </c>
      <c r="J940">
        <v>9</v>
      </c>
      <c r="K940" t="s">
        <v>944</v>
      </c>
    </row>
    <row r="941" spans="1:11" x14ac:dyDescent="0.25">
      <c r="A941" t="s">
        <v>51</v>
      </c>
      <c r="B941" t="s">
        <v>937</v>
      </c>
      <c r="C941" s="3">
        <v>2380</v>
      </c>
      <c r="D941" s="3">
        <v>-1918</v>
      </c>
      <c r="E941" s="3">
        <v>8711</v>
      </c>
      <c r="F941">
        <v>3781</v>
      </c>
      <c r="G941">
        <v>517</v>
      </c>
      <c r="H941">
        <v>51</v>
      </c>
      <c r="I941" t="s">
        <v>939</v>
      </c>
      <c r="J941">
        <v>2</v>
      </c>
      <c r="K941" t="s">
        <v>951</v>
      </c>
    </row>
    <row r="942" spans="1:11" x14ac:dyDescent="0.25">
      <c r="A942" t="s">
        <v>572</v>
      </c>
      <c r="B942" t="s">
        <v>934</v>
      </c>
      <c r="C942" s="3">
        <v>3410</v>
      </c>
      <c r="D942" s="3">
        <v>1216</v>
      </c>
      <c r="E942" s="3">
        <v>9469</v>
      </c>
      <c r="F942">
        <v>1162</v>
      </c>
      <c r="G942">
        <v>1032</v>
      </c>
      <c r="H942">
        <v>120</v>
      </c>
      <c r="I942" t="s">
        <v>942</v>
      </c>
      <c r="J942">
        <v>2</v>
      </c>
      <c r="K942" t="s">
        <v>948</v>
      </c>
    </row>
    <row r="943" spans="1:11" x14ac:dyDescent="0.25">
      <c r="A943" t="s">
        <v>314</v>
      </c>
      <c r="B943" t="s">
        <v>935</v>
      </c>
      <c r="C943" s="3">
        <v>2127</v>
      </c>
      <c r="D943" s="3">
        <v>500</v>
      </c>
      <c r="E943" s="3">
        <v>5107</v>
      </c>
      <c r="F943">
        <v>1148</v>
      </c>
      <c r="G943">
        <v>479</v>
      </c>
      <c r="H943">
        <v>56</v>
      </c>
      <c r="I943" t="s">
        <v>940</v>
      </c>
      <c r="J943">
        <v>9</v>
      </c>
      <c r="K943" t="s">
        <v>946</v>
      </c>
    </row>
    <row r="944" spans="1:11" x14ac:dyDescent="0.25">
      <c r="A944" t="s">
        <v>710</v>
      </c>
      <c r="B944" t="s">
        <v>936</v>
      </c>
      <c r="C944" s="3">
        <v>5225</v>
      </c>
      <c r="D944" s="3">
        <v>-591</v>
      </c>
      <c r="E944" s="3">
        <v>7734</v>
      </c>
      <c r="F944">
        <v>4667</v>
      </c>
      <c r="G944">
        <v>1149</v>
      </c>
      <c r="H944">
        <v>13</v>
      </c>
      <c r="I944" t="s">
        <v>941</v>
      </c>
      <c r="J944">
        <v>8</v>
      </c>
      <c r="K944" t="s">
        <v>945</v>
      </c>
    </row>
    <row r="945" spans="1:11" x14ac:dyDescent="0.25">
      <c r="A945" t="s">
        <v>173</v>
      </c>
      <c r="B945" t="s">
        <v>937</v>
      </c>
      <c r="C945" s="3">
        <v>3870</v>
      </c>
      <c r="D945" s="3">
        <v>862</v>
      </c>
      <c r="E945" s="3">
        <v>6903</v>
      </c>
      <c r="F945">
        <v>1513</v>
      </c>
      <c r="G945">
        <v>1495</v>
      </c>
      <c r="H945">
        <v>67</v>
      </c>
      <c r="I945" t="s">
        <v>942</v>
      </c>
      <c r="J945">
        <v>3</v>
      </c>
      <c r="K945" t="s">
        <v>943</v>
      </c>
    </row>
    <row r="946" spans="1:11" x14ac:dyDescent="0.25">
      <c r="A946" t="s">
        <v>56</v>
      </c>
      <c r="B946" t="s">
        <v>934</v>
      </c>
      <c r="C946" s="3">
        <v>6455</v>
      </c>
      <c r="D946" s="3">
        <v>2432</v>
      </c>
      <c r="E946" s="3">
        <v>6456</v>
      </c>
      <c r="F946">
        <v>2749</v>
      </c>
      <c r="G946">
        <v>1274</v>
      </c>
      <c r="H946">
        <v>46</v>
      </c>
      <c r="I946" t="s">
        <v>939</v>
      </c>
      <c r="J946">
        <v>5</v>
      </c>
      <c r="K946" t="s">
        <v>946</v>
      </c>
    </row>
    <row r="947" spans="1:11" x14ac:dyDescent="0.25">
      <c r="A947" t="s">
        <v>711</v>
      </c>
      <c r="B947" t="s">
        <v>937</v>
      </c>
      <c r="C947" s="3">
        <v>7149</v>
      </c>
      <c r="D947" s="3">
        <v>5112</v>
      </c>
      <c r="E947" s="3">
        <v>5574</v>
      </c>
      <c r="F947">
        <v>1418</v>
      </c>
      <c r="G947">
        <v>619</v>
      </c>
      <c r="H947">
        <v>71</v>
      </c>
      <c r="I947" t="s">
        <v>941</v>
      </c>
      <c r="J947">
        <v>1</v>
      </c>
      <c r="K947" t="s">
        <v>951</v>
      </c>
    </row>
    <row r="948" spans="1:11" x14ac:dyDescent="0.25">
      <c r="A948" t="s">
        <v>712</v>
      </c>
      <c r="B948" t="s">
        <v>935</v>
      </c>
      <c r="C948" s="3">
        <v>2807</v>
      </c>
      <c r="D948" s="3">
        <v>-1840</v>
      </c>
      <c r="E948" s="3">
        <v>8638</v>
      </c>
      <c r="F948">
        <v>3656</v>
      </c>
      <c r="G948">
        <v>991</v>
      </c>
      <c r="H948">
        <v>19</v>
      </c>
      <c r="I948" t="s">
        <v>942</v>
      </c>
      <c r="J948">
        <v>9</v>
      </c>
      <c r="K948" t="s">
        <v>947</v>
      </c>
    </row>
    <row r="949" spans="1:11" x14ac:dyDescent="0.25">
      <c r="A949" t="s">
        <v>172</v>
      </c>
      <c r="B949" t="s">
        <v>935</v>
      </c>
      <c r="C949" s="3">
        <v>6051</v>
      </c>
      <c r="D949" s="3">
        <v>2901</v>
      </c>
      <c r="E949" s="3">
        <v>6353</v>
      </c>
      <c r="F949">
        <v>1611</v>
      </c>
      <c r="G949">
        <v>1539</v>
      </c>
      <c r="H949">
        <v>65</v>
      </c>
      <c r="I949" t="s">
        <v>940</v>
      </c>
      <c r="J949">
        <v>9</v>
      </c>
      <c r="K949" t="s">
        <v>954</v>
      </c>
    </row>
    <row r="950" spans="1:11" x14ac:dyDescent="0.25">
      <c r="A950" t="s">
        <v>107</v>
      </c>
      <c r="B950" t="s">
        <v>934</v>
      </c>
      <c r="C950" s="3">
        <v>7729</v>
      </c>
      <c r="D950" s="3">
        <v>1854</v>
      </c>
      <c r="E950" s="3">
        <v>4055</v>
      </c>
      <c r="F950">
        <v>4389</v>
      </c>
      <c r="G950">
        <v>1486</v>
      </c>
      <c r="H950">
        <v>27</v>
      </c>
      <c r="I950" t="s">
        <v>941</v>
      </c>
      <c r="J950">
        <v>6</v>
      </c>
      <c r="K950" t="s">
        <v>943</v>
      </c>
    </row>
    <row r="951" spans="1:11" x14ac:dyDescent="0.25">
      <c r="A951" t="s">
        <v>298</v>
      </c>
      <c r="B951" t="s">
        <v>936</v>
      </c>
      <c r="C951" s="3">
        <v>8431</v>
      </c>
      <c r="D951" s="3">
        <v>4060</v>
      </c>
      <c r="E951" s="3">
        <v>4249</v>
      </c>
      <c r="F951">
        <v>2698</v>
      </c>
      <c r="G951">
        <v>1673</v>
      </c>
      <c r="H951">
        <v>26</v>
      </c>
      <c r="I951" t="s">
        <v>942</v>
      </c>
      <c r="J951">
        <v>4</v>
      </c>
      <c r="K951" t="s">
        <v>948</v>
      </c>
    </row>
    <row r="952" spans="1:11" x14ac:dyDescent="0.25">
      <c r="A952" t="s">
        <v>713</v>
      </c>
      <c r="B952" t="s">
        <v>934</v>
      </c>
      <c r="C952" s="3">
        <v>3329</v>
      </c>
      <c r="D952" s="3">
        <v>242</v>
      </c>
      <c r="E952" s="3">
        <v>6966</v>
      </c>
      <c r="F952">
        <v>2630</v>
      </c>
      <c r="G952">
        <v>457</v>
      </c>
      <c r="H952">
        <v>103</v>
      </c>
      <c r="I952" t="s">
        <v>941</v>
      </c>
      <c r="J952">
        <v>5</v>
      </c>
      <c r="K952" t="s">
        <v>945</v>
      </c>
    </row>
    <row r="953" spans="1:11" x14ac:dyDescent="0.25">
      <c r="A953" t="s">
        <v>714</v>
      </c>
      <c r="B953" t="s">
        <v>934</v>
      </c>
      <c r="C953" s="3">
        <v>11195</v>
      </c>
      <c r="D953" s="3">
        <v>7855</v>
      </c>
      <c r="E953" s="3">
        <v>9915</v>
      </c>
      <c r="F953">
        <v>1978</v>
      </c>
      <c r="G953">
        <v>1362</v>
      </c>
      <c r="H953">
        <v>12</v>
      </c>
      <c r="I953" t="s">
        <v>942</v>
      </c>
      <c r="J953">
        <v>3</v>
      </c>
      <c r="K953" t="s">
        <v>945</v>
      </c>
    </row>
    <row r="954" spans="1:11" x14ac:dyDescent="0.25">
      <c r="A954" t="s">
        <v>715</v>
      </c>
      <c r="B954" t="s">
        <v>936</v>
      </c>
      <c r="C954" s="3">
        <v>5316</v>
      </c>
      <c r="D954" s="3">
        <v>958</v>
      </c>
      <c r="E954" s="3">
        <v>6240</v>
      </c>
      <c r="F954">
        <v>2988</v>
      </c>
      <c r="G954">
        <v>1370</v>
      </c>
      <c r="H954">
        <v>16</v>
      </c>
      <c r="I954" t="s">
        <v>942</v>
      </c>
      <c r="J954">
        <v>8</v>
      </c>
      <c r="K954" t="s">
        <v>953</v>
      </c>
    </row>
    <row r="955" spans="1:11" x14ac:dyDescent="0.25">
      <c r="A955" t="s">
        <v>716</v>
      </c>
      <c r="B955" t="s">
        <v>937</v>
      </c>
      <c r="C955" s="3">
        <v>10664</v>
      </c>
      <c r="D955" s="3">
        <v>7384</v>
      </c>
      <c r="E955" s="3">
        <v>6155</v>
      </c>
      <c r="F955">
        <v>2244</v>
      </c>
      <c r="G955">
        <v>1036</v>
      </c>
      <c r="H955">
        <v>99</v>
      </c>
      <c r="I955" t="s">
        <v>940</v>
      </c>
      <c r="J955">
        <v>5</v>
      </c>
      <c r="K955" t="s">
        <v>944</v>
      </c>
    </row>
    <row r="956" spans="1:11" x14ac:dyDescent="0.25">
      <c r="A956" t="s">
        <v>317</v>
      </c>
      <c r="B956" t="s">
        <v>935</v>
      </c>
      <c r="C956" s="3">
        <v>3324</v>
      </c>
      <c r="D956" s="3">
        <v>-1942</v>
      </c>
      <c r="E956" s="3">
        <v>5297</v>
      </c>
      <c r="F956">
        <v>3746</v>
      </c>
      <c r="G956">
        <v>1520</v>
      </c>
      <c r="H956">
        <v>11</v>
      </c>
      <c r="I956" t="s">
        <v>942</v>
      </c>
      <c r="J956">
        <v>7</v>
      </c>
      <c r="K956" t="s">
        <v>947</v>
      </c>
    </row>
    <row r="957" spans="1:11" x14ac:dyDescent="0.25">
      <c r="A957" t="s">
        <v>717</v>
      </c>
      <c r="B957" t="s">
        <v>936</v>
      </c>
      <c r="C957" s="3">
        <v>9668</v>
      </c>
      <c r="D957" s="3">
        <v>7519</v>
      </c>
      <c r="E957" s="3">
        <v>5664</v>
      </c>
      <c r="F957">
        <v>1240</v>
      </c>
      <c r="G957">
        <v>909</v>
      </c>
      <c r="H957">
        <v>13</v>
      </c>
      <c r="I957" t="s">
        <v>938</v>
      </c>
      <c r="J957">
        <v>3</v>
      </c>
      <c r="K957" t="s">
        <v>950</v>
      </c>
    </row>
    <row r="958" spans="1:11" x14ac:dyDescent="0.25">
      <c r="A958" t="s">
        <v>416</v>
      </c>
      <c r="B958" t="s">
        <v>936</v>
      </c>
      <c r="C958" s="3">
        <v>8671</v>
      </c>
      <c r="D958" s="3">
        <v>4088</v>
      </c>
      <c r="E958" s="3">
        <v>9829</v>
      </c>
      <c r="F958">
        <v>3511</v>
      </c>
      <c r="G958">
        <v>1072</v>
      </c>
      <c r="H958">
        <v>46</v>
      </c>
      <c r="I958" t="s">
        <v>942</v>
      </c>
      <c r="J958">
        <v>4</v>
      </c>
      <c r="K958" t="s">
        <v>949</v>
      </c>
    </row>
    <row r="959" spans="1:11" x14ac:dyDescent="0.25">
      <c r="A959" t="s">
        <v>68</v>
      </c>
      <c r="B959" t="s">
        <v>936</v>
      </c>
      <c r="C959" s="3">
        <v>7169</v>
      </c>
      <c r="D959" s="3">
        <v>5591</v>
      </c>
      <c r="E959" s="3">
        <v>7779</v>
      </c>
      <c r="F959">
        <v>1011</v>
      </c>
      <c r="G959">
        <v>567</v>
      </c>
      <c r="H959">
        <v>97</v>
      </c>
      <c r="I959" t="s">
        <v>941</v>
      </c>
      <c r="J959">
        <v>10</v>
      </c>
      <c r="K959" t="s">
        <v>949</v>
      </c>
    </row>
    <row r="960" spans="1:11" x14ac:dyDescent="0.25">
      <c r="A960" t="s">
        <v>718</v>
      </c>
      <c r="B960" t="s">
        <v>937</v>
      </c>
      <c r="C960" s="3">
        <v>7960</v>
      </c>
      <c r="D960" s="3">
        <v>5039</v>
      </c>
      <c r="E960" s="3">
        <v>5606</v>
      </c>
      <c r="F960">
        <v>1525</v>
      </c>
      <c r="G960">
        <v>1396</v>
      </c>
      <c r="H960">
        <v>106</v>
      </c>
      <c r="I960" t="s">
        <v>940</v>
      </c>
      <c r="J960">
        <v>1</v>
      </c>
      <c r="K960" t="s">
        <v>944</v>
      </c>
    </row>
    <row r="961" spans="1:11" x14ac:dyDescent="0.25">
      <c r="A961" t="s">
        <v>719</v>
      </c>
      <c r="B961" t="s">
        <v>934</v>
      </c>
      <c r="C961" s="3">
        <v>2988</v>
      </c>
      <c r="D961" s="3">
        <v>572</v>
      </c>
      <c r="E961" s="3">
        <v>6737</v>
      </c>
      <c r="F961">
        <v>1026</v>
      </c>
      <c r="G961">
        <v>1390</v>
      </c>
      <c r="H961">
        <v>110</v>
      </c>
      <c r="I961" t="s">
        <v>941</v>
      </c>
      <c r="J961">
        <v>1</v>
      </c>
      <c r="K961" t="s">
        <v>946</v>
      </c>
    </row>
    <row r="962" spans="1:11" x14ac:dyDescent="0.25">
      <c r="A962" t="s">
        <v>720</v>
      </c>
      <c r="B962" t="s">
        <v>934</v>
      </c>
      <c r="C962" s="3">
        <v>3763</v>
      </c>
      <c r="D962" s="3">
        <v>-2102</v>
      </c>
      <c r="E962" s="3">
        <v>4335</v>
      </c>
      <c r="F962">
        <v>4502</v>
      </c>
      <c r="G962">
        <v>1363</v>
      </c>
      <c r="H962">
        <v>93</v>
      </c>
      <c r="I962" t="s">
        <v>939</v>
      </c>
      <c r="J962">
        <v>6</v>
      </c>
      <c r="K962" t="s">
        <v>954</v>
      </c>
    </row>
    <row r="963" spans="1:11" x14ac:dyDescent="0.25">
      <c r="A963" t="s">
        <v>445</v>
      </c>
      <c r="B963" t="s">
        <v>936</v>
      </c>
      <c r="C963" s="3">
        <v>8199</v>
      </c>
      <c r="D963" s="3">
        <v>6062</v>
      </c>
      <c r="E963" s="3">
        <v>7466</v>
      </c>
      <c r="F963">
        <v>1174</v>
      </c>
      <c r="G963">
        <v>963</v>
      </c>
      <c r="H963">
        <v>101</v>
      </c>
      <c r="I963" t="s">
        <v>942</v>
      </c>
      <c r="J963">
        <v>3</v>
      </c>
      <c r="K963" t="s">
        <v>943</v>
      </c>
    </row>
    <row r="964" spans="1:11" x14ac:dyDescent="0.25">
      <c r="A964" t="s">
        <v>721</v>
      </c>
      <c r="B964" t="s">
        <v>937</v>
      </c>
      <c r="C964" s="3">
        <v>7081</v>
      </c>
      <c r="D964" s="3">
        <v>4660</v>
      </c>
      <c r="E964" s="3">
        <v>4545</v>
      </c>
      <c r="F964">
        <v>1058</v>
      </c>
      <c r="G964">
        <v>1363</v>
      </c>
      <c r="H964">
        <v>21</v>
      </c>
      <c r="I964" t="s">
        <v>941</v>
      </c>
      <c r="J964">
        <v>1</v>
      </c>
      <c r="K964" t="s">
        <v>947</v>
      </c>
    </row>
    <row r="965" spans="1:11" x14ac:dyDescent="0.25">
      <c r="A965" t="s">
        <v>722</v>
      </c>
      <c r="B965" t="s">
        <v>935</v>
      </c>
      <c r="C965" s="3">
        <v>6056</v>
      </c>
      <c r="D965" s="3">
        <v>2614</v>
      </c>
      <c r="E965" s="3">
        <v>9006</v>
      </c>
      <c r="F965">
        <v>1499</v>
      </c>
      <c r="G965">
        <v>1943</v>
      </c>
      <c r="H965">
        <v>92</v>
      </c>
      <c r="I965" t="s">
        <v>938</v>
      </c>
      <c r="J965">
        <v>3</v>
      </c>
      <c r="K965" t="s">
        <v>949</v>
      </c>
    </row>
    <row r="966" spans="1:11" x14ac:dyDescent="0.25">
      <c r="A966" t="s">
        <v>723</v>
      </c>
      <c r="B966" t="s">
        <v>936</v>
      </c>
      <c r="C966" s="3">
        <v>5444</v>
      </c>
      <c r="D966" s="3">
        <v>3728</v>
      </c>
      <c r="E966" s="3">
        <v>8319</v>
      </c>
      <c r="F966">
        <v>885</v>
      </c>
      <c r="G966">
        <v>831</v>
      </c>
      <c r="H966">
        <v>82</v>
      </c>
      <c r="I966" t="s">
        <v>940</v>
      </c>
      <c r="J966">
        <v>9</v>
      </c>
      <c r="K966" t="s">
        <v>950</v>
      </c>
    </row>
    <row r="967" spans="1:11" x14ac:dyDescent="0.25">
      <c r="A967" t="s">
        <v>724</v>
      </c>
      <c r="B967" t="s">
        <v>937</v>
      </c>
      <c r="C967" s="3">
        <v>4974</v>
      </c>
      <c r="D967" s="3">
        <v>-67</v>
      </c>
      <c r="E967" s="3">
        <v>9517</v>
      </c>
      <c r="F967">
        <v>4069</v>
      </c>
      <c r="G967">
        <v>972</v>
      </c>
      <c r="H967">
        <v>87</v>
      </c>
      <c r="I967" t="s">
        <v>941</v>
      </c>
      <c r="J967">
        <v>9</v>
      </c>
      <c r="K967" t="s">
        <v>954</v>
      </c>
    </row>
    <row r="968" spans="1:11" x14ac:dyDescent="0.25">
      <c r="A968" t="s">
        <v>725</v>
      </c>
      <c r="B968" t="s">
        <v>934</v>
      </c>
      <c r="C968" s="3">
        <v>10023</v>
      </c>
      <c r="D968" s="3">
        <v>6877</v>
      </c>
      <c r="E968" s="3">
        <v>4707</v>
      </c>
      <c r="F968">
        <v>1159</v>
      </c>
      <c r="G968">
        <v>1987</v>
      </c>
      <c r="H968">
        <v>96</v>
      </c>
      <c r="I968" t="s">
        <v>938</v>
      </c>
      <c r="J968">
        <v>6</v>
      </c>
      <c r="K968" t="s">
        <v>949</v>
      </c>
    </row>
    <row r="969" spans="1:11" x14ac:dyDescent="0.25">
      <c r="A969" t="s">
        <v>726</v>
      </c>
      <c r="B969" t="s">
        <v>935</v>
      </c>
      <c r="C969" s="3">
        <v>11818</v>
      </c>
      <c r="D969" s="3">
        <v>5792</v>
      </c>
      <c r="E969" s="3">
        <v>4704</v>
      </c>
      <c r="F969">
        <v>4109</v>
      </c>
      <c r="G969">
        <v>1917</v>
      </c>
      <c r="H969">
        <v>87</v>
      </c>
      <c r="I969" t="s">
        <v>940</v>
      </c>
      <c r="J969">
        <v>3</v>
      </c>
      <c r="K969" t="s">
        <v>945</v>
      </c>
    </row>
    <row r="970" spans="1:11" x14ac:dyDescent="0.25">
      <c r="A970" t="s">
        <v>541</v>
      </c>
      <c r="B970" t="s">
        <v>936</v>
      </c>
      <c r="C970" s="3">
        <v>6004</v>
      </c>
      <c r="D970" s="3">
        <v>-470</v>
      </c>
      <c r="E970" s="3">
        <v>6372</v>
      </c>
      <c r="F970">
        <v>4501</v>
      </c>
      <c r="G970">
        <v>1973</v>
      </c>
      <c r="H970">
        <v>16</v>
      </c>
      <c r="I970" t="s">
        <v>938</v>
      </c>
      <c r="J970">
        <v>9</v>
      </c>
      <c r="K970" t="s">
        <v>944</v>
      </c>
    </row>
    <row r="971" spans="1:11" x14ac:dyDescent="0.25">
      <c r="A971" t="s">
        <v>85</v>
      </c>
      <c r="B971" t="s">
        <v>935</v>
      </c>
      <c r="C971" s="3">
        <v>7346</v>
      </c>
      <c r="D971" s="3">
        <v>4717</v>
      </c>
      <c r="E971" s="3">
        <v>4493</v>
      </c>
      <c r="F971">
        <v>905</v>
      </c>
      <c r="G971">
        <v>1724</v>
      </c>
      <c r="H971">
        <v>57</v>
      </c>
      <c r="I971" t="s">
        <v>941</v>
      </c>
      <c r="J971">
        <v>2</v>
      </c>
      <c r="K971" t="s">
        <v>943</v>
      </c>
    </row>
    <row r="972" spans="1:11" x14ac:dyDescent="0.25">
      <c r="A972" t="s">
        <v>727</v>
      </c>
      <c r="B972" t="s">
        <v>937</v>
      </c>
      <c r="C972" s="3">
        <v>5424</v>
      </c>
      <c r="D972" s="3">
        <v>428</v>
      </c>
      <c r="E972" s="3">
        <v>8779</v>
      </c>
      <c r="F972">
        <v>3810</v>
      </c>
      <c r="G972">
        <v>1186</v>
      </c>
      <c r="H972">
        <v>91</v>
      </c>
      <c r="I972" t="s">
        <v>938</v>
      </c>
      <c r="J972">
        <v>4</v>
      </c>
      <c r="K972" t="s">
        <v>945</v>
      </c>
    </row>
    <row r="973" spans="1:11" x14ac:dyDescent="0.25">
      <c r="A973" t="s">
        <v>181</v>
      </c>
      <c r="B973" t="s">
        <v>935</v>
      </c>
      <c r="C973" s="3">
        <v>8420</v>
      </c>
      <c r="D973" s="3">
        <v>5097</v>
      </c>
      <c r="E973" s="3">
        <v>6247</v>
      </c>
      <c r="F973">
        <v>2877</v>
      </c>
      <c r="G973">
        <v>446</v>
      </c>
      <c r="H973">
        <v>43</v>
      </c>
      <c r="I973" t="s">
        <v>942</v>
      </c>
      <c r="J973">
        <v>5</v>
      </c>
      <c r="K973" t="s">
        <v>946</v>
      </c>
    </row>
    <row r="974" spans="1:11" x14ac:dyDescent="0.25">
      <c r="A974" t="s">
        <v>728</v>
      </c>
      <c r="B974" t="s">
        <v>934</v>
      </c>
      <c r="C974" s="3">
        <v>10691</v>
      </c>
      <c r="D974" s="3">
        <v>5694</v>
      </c>
      <c r="E974" s="3">
        <v>4263</v>
      </c>
      <c r="F974">
        <v>3702</v>
      </c>
      <c r="G974">
        <v>1295</v>
      </c>
      <c r="H974">
        <v>29</v>
      </c>
      <c r="I974" t="s">
        <v>938</v>
      </c>
      <c r="J974">
        <v>8</v>
      </c>
      <c r="K974" t="s">
        <v>943</v>
      </c>
    </row>
    <row r="975" spans="1:11" x14ac:dyDescent="0.25">
      <c r="A975" t="s">
        <v>729</v>
      </c>
      <c r="B975" t="s">
        <v>937</v>
      </c>
      <c r="C975" s="3">
        <v>8753</v>
      </c>
      <c r="D975" s="3">
        <v>4679</v>
      </c>
      <c r="E975" s="3">
        <v>6912</v>
      </c>
      <c r="F975">
        <v>3016</v>
      </c>
      <c r="G975">
        <v>1058</v>
      </c>
      <c r="H975">
        <v>97</v>
      </c>
      <c r="I975" t="s">
        <v>941</v>
      </c>
      <c r="J975">
        <v>7</v>
      </c>
      <c r="K975" t="s">
        <v>943</v>
      </c>
    </row>
    <row r="976" spans="1:11" x14ac:dyDescent="0.25">
      <c r="A976" t="s">
        <v>347</v>
      </c>
      <c r="B976" t="s">
        <v>935</v>
      </c>
      <c r="C976" s="3">
        <v>9074</v>
      </c>
      <c r="D976" s="3">
        <v>4769</v>
      </c>
      <c r="E976" s="3">
        <v>5509</v>
      </c>
      <c r="F976">
        <v>3792</v>
      </c>
      <c r="G976">
        <v>513</v>
      </c>
      <c r="H976">
        <v>118</v>
      </c>
      <c r="I976" t="s">
        <v>938</v>
      </c>
      <c r="J976">
        <v>4</v>
      </c>
      <c r="K976" t="s">
        <v>949</v>
      </c>
    </row>
    <row r="977" spans="1:11" x14ac:dyDescent="0.25">
      <c r="A977" t="s">
        <v>412</v>
      </c>
      <c r="B977" t="s">
        <v>935</v>
      </c>
      <c r="C977" s="3">
        <v>11681</v>
      </c>
      <c r="D977" s="3">
        <v>6682</v>
      </c>
      <c r="E977" s="3">
        <v>4515</v>
      </c>
      <c r="F977">
        <v>4364</v>
      </c>
      <c r="G977">
        <v>635</v>
      </c>
      <c r="H977">
        <v>73</v>
      </c>
      <c r="I977" t="s">
        <v>940</v>
      </c>
      <c r="J977">
        <v>1</v>
      </c>
      <c r="K977" t="s">
        <v>948</v>
      </c>
    </row>
    <row r="978" spans="1:11" x14ac:dyDescent="0.25">
      <c r="A978" t="s">
        <v>236</v>
      </c>
      <c r="B978" t="s">
        <v>936</v>
      </c>
      <c r="C978" s="3">
        <v>6377</v>
      </c>
      <c r="D978" s="3">
        <v>3909</v>
      </c>
      <c r="E978" s="3">
        <v>4137</v>
      </c>
      <c r="F978">
        <v>1238</v>
      </c>
      <c r="G978">
        <v>1230</v>
      </c>
      <c r="H978">
        <v>116</v>
      </c>
      <c r="I978" t="s">
        <v>938</v>
      </c>
      <c r="J978">
        <v>10</v>
      </c>
      <c r="K978" t="s">
        <v>951</v>
      </c>
    </row>
    <row r="979" spans="1:11" x14ac:dyDescent="0.25">
      <c r="A979" t="s">
        <v>424</v>
      </c>
      <c r="B979" t="s">
        <v>934</v>
      </c>
      <c r="C979" s="3">
        <v>5294</v>
      </c>
      <c r="D979" s="3">
        <v>748</v>
      </c>
      <c r="E979" s="3">
        <v>7983</v>
      </c>
      <c r="F979">
        <v>3250</v>
      </c>
      <c r="G979">
        <v>1296</v>
      </c>
      <c r="H979">
        <v>75</v>
      </c>
      <c r="I979" t="s">
        <v>942</v>
      </c>
      <c r="J979">
        <v>8</v>
      </c>
      <c r="K979" t="s">
        <v>953</v>
      </c>
    </row>
    <row r="980" spans="1:11" x14ac:dyDescent="0.25">
      <c r="A980" t="s">
        <v>730</v>
      </c>
      <c r="B980" t="s">
        <v>936</v>
      </c>
      <c r="C980" s="3">
        <v>8859</v>
      </c>
      <c r="D980" s="3">
        <v>5116</v>
      </c>
      <c r="E980" s="3">
        <v>9664</v>
      </c>
      <c r="F980">
        <v>2656</v>
      </c>
      <c r="G980">
        <v>1087</v>
      </c>
      <c r="H980">
        <v>95</v>
      </c>
      <c r="I980" t="s">
        <v>938</v>
      </c>
      <c r="J980">
        <v>5</v>
      </c>
      <c r="K980" t="s">
        <v>948</v>
      </c>
    </row>
    <row r="981" spans="1:11" x14ac:dyDescent="0.25">
      <c r="A981" t="s">
        <v>350</v>
      </c>
      <c r="B981" t="s">
        <v>935</v>
      </c>
      <c r="C981" s="3">
        <v>11456</v>
      </c>
      <c r="D981" s="3">
        <v>5377</v>
      </c>
      <c r="E981" s="3">
        <v>4034</v>
      </c>
      <c r="F981">
        <v>4474</v>
      </c>
      <c r="G981">
        <v>1605</v>
      </c>
      <c r="H981">
        <v>73</v>
      </c>
      <c r="I981" t="s">
        <v>940</v>
      </c>
      <c r="J981">
        <v>6</v>
      </c>
      <c r="K981" t="s">
        <v>946</v>
      </c>
    </row>
    <row r="982" spans="1:11" x14ac:dyDescent="0.25">
      <c r="A982" t="s">
        <v>731</v>
      </c>
      <c r="B982" t="s">
        <v>935</v>
      </c>
      <c r="C982" s="3">
        <v>2092</v>
      </c>
      <c r="D982" s="3">
        <v>-2735</v>
      </c>
      <c r="E982" s="3">
        <v>9522</v>
      </c>
      <c r="F982">
        <v>4161</v>
      </c>
      <c r="G982">
        <v>666</v>
      </c>
      <c r="H982">
        <v>14</v>
      </c>
      <c r="I982" t="s">
        <v>942</v>
      </c>
      <c r="J982">
        <v>6</v>
      </c>
      <c r="K982" t="s">
        <v>954</v>
      </c>
    </row>
    <row r="983" spans="1:11" x14ac:dyDescent="0.25">
      <c r="A983" t="s">
        <v>732</v>
      </c>
      <c r="B983" t="s">
        <v>934</v>
      </c>
      <c r="C983" s="3">
        <v>10891</v>
      </c>
      <c r="D983" s="3">
        <v>6152</v>
      </c>
      <c r="E983" s="3">
        <v>8039</v>
      </c>
      <c r="F983">
        <v>3271</v>
      </c>
      <c r="G983">
        <v>1468</v>
      </c>
      <c r="H983">
        <v>81</v>
      </c>
      <c r="I983" t="s">
        <v>939</v>
      </c>
      <c r="J983">
        <v>5</v>
      </c>
      <c r="K983" t="s">
        <v>948</v>
      </c>
    </row>
    <row r="984" spans="1:11" x14ac:dyDescent="0.25">
      <c r="A984" t="s">
        <v>160</v>
      </c>
      <c r="B984" t="s">
        <v>934</v>
      </c>
      <c r="C984" s="3">
        <v>8386</v>
      </c>
      <c r="D984" s="3">
        <v>5642</v>
      </c>
      <c r="E984" s="3">
        <v>8346</v>
      </c>
      <c r="F984">
        <v>1729</v>
      </c>
      <c r="G984">
        <v>1015</v>
      </c>
      <c r="H984">
        <v>79</v>
      </c>
      <c r="I984" t="s">
        <v>938</v>
      </c>
      <c r="J984">
        <v>7</v>
      </c>
      <c r="K984" t="s">
        <v>948</v>
      </c>
    </row>
    <row r="985" spans="1:11" x14ac:dyDescent="0.25">
      <c r="A985" t="s">
        <v>303</v>
      </c>
      <c r="B985" t="s">
        <v>937</v>
      </c>
      <c r="C985" s="3">
        <v>6835</v>
      </c>
      <c r="D985" s="3">
        <v>1757</v>
      </c>
      <c r="E985" s="3">
        <v>8297</v>
      </c>
      <c r="F985">
        <v>4545</v>
      </c>
      <c r="G985">
        <v>533</v>
      </c>
      <c r="H985">
        <v>17</v>
      </c>
      <c r="I985" t="s">
        <v>941</v>
      </c>
      <c r="J985">
        <v>1</v>
      </c>
      <c r="K985" t="s">
        <v>954</v>
      </c>
    </row>
    <row r="986" spans="1:11" x14ac:dyDescent="0.25">
      <c r="A986" t="s">
        <v>733</v>
      </c>
      <c r="B986" t="s">
        <v>935</v>
      </c>
      <c r="C986" s="3">
        <v>11375</v>
      </c>
      <c r="D986" s="3">
        <v>8141</v>
      </c>
      <c r="E986" s="3">
        <v>7666</v>
      </c>
      <c r="F986">
        <v>1595</v>
      </c>
      <c r="G986">
        <v>1639</v>
      </c>
      <c r="H986">
        <v>119</v>
      </c>
      <c r="I986" t="s">
        <v>942</v>
      </c>
      <c r="J986">
        <v>4</v>
      </c>
      <c r="K986" t="s">
        <v>951</v>
      </c>
    </row>
    <row r="987" spans="1:11" x14ac:dyDescent="0.25">
      <c r="A987" t="s">
        <v>734</v>
      </c>
      <c r="B987" t="s">
        <v>934</v>
      </c>
      <c r="C987" s="3">
        <v>3846</v>
      </c>
      <c r="D987" s="3">
        <v>-342</v>
      </c>
      <c r="E987" s="3">
        <v>4026</v>
      </c>
      <c r="F987">
        <v>2906</v>
      </c>
      <c r="G987">
        <v>1282</v>
      </c>
      <c r="H987">
        <v>81</v>
      </c>
      <c r="I987" t="s">
        <v>939</v>
      </c>
      <c r="J987">
        <v>2</v>
      </c>
      <c r="K987" t="s">
        <v>946</v>
      </c>
    </row>
    <row r="988" spans="1:11" x14ac:dyDescent="0.25">
      <c r="A988" t="s">
        <v>735</v>
      </c>
      <c r="B988" t="s">
        <v>935</v>
      </c>
      <c r="C988" s="3">
        <v>10481</v>
      </c>
      <c r="D988" s="3">
        <v>5276</v>
      </c>
      <c r="E988" s="3">
        <v>9233</v>
      </c>
      <c r="F988">
        <v>4300</v>
      </c>
      <c r="G988">
        <v>905</v>
      </c>
      <c r="H988">
        <v>43</v>
      </c>
      <c r="I988" t="s">
        <v>942</v>
      </c>
      <c r="J988">
        <v>8</v>
      </c>
      <c r="K988" t="s">
        <v>948</v>
      </c>
    </row>
    <row r="989" spans="1:11" x14ac:dyDescent="0.25">
      <c r="A989" t="s">
        <v>736</v>
      </c>
      <c r="B989" t="s">
        <v>936</v>
      </c>
      <c r="C989" s="3">
        <v>2480</v>
      </c>
      <c r="D989" s="3">
        <v>-2707</v>
      </c>
      <c r="E989" s="3">
        <v>6918</v>
      </c>
      <c r="F989">
        <v>3562</v>
      </c>
      <c r="G989">
        <v>1625</v>
      </c>
      <c r="H989">
        <v>51</v>
      </c>
      <c r="I989" t="s">
        <v>940</v>
      </c>
      <c r="J989">
        <v>7</v>
      </c>
      <c r="K989" t="s">
        <v>947</v>
      </c>
    </row>
    <row r="990" spans="1:11" x14ac:dyDescent="0.25">
      <c r="A990" t="s">
        <v>737</v>
      </c>
      <c r="B990" t="s">
        <v>934</v>
      </c>
      <c r="C990" s="3">
        <v>2655</v>
      </c>
      <c r="D990" s="3">
        <v>-2420</v>
      </c>
      <c r="E990" s="3">
        <v>7356</v>
      </c>
      <c r="F990">
        <v>3275</v>
      </c>
      <c r="G990">
        <v>1800</v>
      </c>
      <c r="H990">
        <v>11</v>
      </c>
      <c r="I990" t="s">
        <v>938</v>
      </c>
      <c r="J990">
        <v>1</v>
      </c>
      <c r="K990" t="s">
        <v>944</v>
      </c>
    </row>
    <row r="991" spans="1:11" x14ac:dyDescent="0.25">
      <c r="A991" t="s">
        <v>399</v>
      </c>
      <c r="B991" t="s">
        <v>935</v>
      </c>
      <c r="C991" s="3">
        <v>7559</v>
      </c>
      <c r="D991" s="3">
        <v>4009</v>
      </c>
      <c r="E991" s="3">
        <v>9833</v>
      </c>
      <c r="F991">
        <v>2957</v>
      </c>
      <c r="G991">
        <v>593</v>
      </c>
      <c r="H991">
        <v>44</v>
      </c>
      <c r="I991" t="s">
        <v>940</v>
      </c>
      <c r="J991">
        <v>5</v>
      </c>
      <c r="K991" t="s">
        <v>953</v>
      </c>
    </row>
    <row r="992" spans="1:11" x14ac:dyDescent="0.25">
      <c r="A992" t="s">
        <v>238</v>
      </c>
      <c r="B992" t="s">
        <v>934</v>
      </c>
      <c r="C992" s="3">
        <v>3127</v>
      </c>
      <c r="D992" s="3">
        <v>1067</v>
      </c>
      <c r="E992" s="3">
        <v>4412</v>
      </c>
      <c r="F992">
        <v>1760</v>
      </c>
      <c r="G992">
        <v>300</v>
      </c>
      <c r="H992">
        <v>95</v>
      </c>
      <c r="I992" t="s">
        <v>942</v>
      </c>
      <c r="J992">
        <v>7</v>
      </c>
      <c r="K992" t="s">
        <v>952</v>
      </c>
    </row>
    <row r="993" spans="1:11" x14ac:dyDescent="0.25">
      <c r="A993" t="s">
        <v>96</v>
      </c>
      <c r="B993" t="s">
        <v>935</v>
      </c>
      <c r="C993" s="3">
        <v>7463</v>
      </c>
      <c r="D993" s="3">
        <v>4367</v>
      </c>
      <c r="E993" s="3">
        <v>8245</v>
      </c>
      <c r="F993">
        <v>2275</v>
      </c>
      <c r="G993">
        <v>821</v>
      </c>
      <c r="H993">
        <v>104</v>
      </c>
      <c r="I993" t="s">
        <v>941</v>
      </c>
      <c r="J993">
        <v>7</v>
      </c>
      <c r="K993" t="s">
        <v>945</v>
      </c>
    </row>
    <row r="994" spans="1:11" x14ac:dyDescent="0.25">
      <c r="A994" t="s">
        <v>728</v>
      </c>
      <c r="B994" t="s">
        <v>934</v>
      </c>
      <c r="C994" s="3">
        <v>3785</v>
      </c>
      <c r="D994" s="3">
        <v>2546</v>
      </c>
      <c r="E994" s="3">
        <v>7270</v>
      </c>
      <c r="F994">
        <v>907</v>
      </c>
      <c r="G994">
        <v>332</v>
      </c>
      <c r="H994">
        <v>118</v>
      </c>
      <c r="I994" t="s">
        <v>941</v>
      </c>
      <c r="J994">
        <v>4</v>
      </c>
      <c r="K994" t="s">
        <v>943</v>
      </c>
    </row>
    <row r="995" spans="1:11" x14ac:dyDescent="0.25">
      <c r="A995" t="s">
        <v>725</v>
      </c>
      <c r="B995" t="s">
        <v>934</v>
      </c>
      <c r="C995" s="3">
        <v>10666</v>
      </c>
      <c r="D995" s="3">
        <v>4655</v>
      </c>
      <c r="E995" s="3">
        <v>9216</v>
      </c>
      <c r="F995">
        <v>4017</v>
      </c>
      <c r="G995">
        <v>1994</v>
      </c>
      <c r="H995">
        <v>105</v>
      </c>
      <c r="I995" t="s">
        <v>940</v>
      </c>
      <c r="J995">
        <v>10</v>
      </c>
      <c r="K995" t="s">
        <v>949</v>
      </c>
    </row>
    <row r="996" spans="1:11" x14ac:dyDescent="0.25">
      <c r="A996" t="s">
        <v>738</v>
      </c>
      <c r="B996" t="s">
        <v>937</v>
      </c>
      <c r="C996" s="3">
        <v>3128</v>
      </c>
      <c r="D996" s="3">
        <v>594</v>
      </c>
      <c r="E996" s="3">
        <v>5271</v>
      </c>
      <c r="F996">
        <v>2233</v>
      </c>
      <c r="G996">
        <v>301</v>
      </c>
      <c r="H996">
        <v>53</v>
      </c>
      <c r="I996" t="s">
        <v>938</v>
      </c>
      <c r="J996">
        <v>9</v>
      </c>
      <c r="K996" t="s">
        <v>954</v>
      </c>
    </row>
    <row r="997" spans="1:11" x14ac:dyDescent="0.25">
      <c r="A997" t="s">
        <v>57</v>
      </c>
      <c r="B997" t="s">
        <v>937</v>
      </c>
      <c r="C997" s="3">
        <v>10209</v>
      </c>
      <c r="D997" s="3">
        <v>8521</v>
      </c>
      <c r="E997" s="3">
        <v>9599</v>
      </c>
      <c r="F997">
        <v>834</v>
      </c>
      <c r="G997">
        <v>854</v>
      </c>
      <c r="H997">
        <v>91</v>
      </c>
      <c r="I997" t="s">
        <v>939</v>
      </c>
      <c r="J997">
        <v>6</v>
      </c>
      <c r="K997" t="s">
        <v>943</v>
      </c>
    </row>
    <row r="998" spans="1:11" x14ac:dyDescent="0.25">
      <c r="A998" t="s">
        <v>307</v>
      </c>
      <c r="B998" t="s">
        <v>935</v>
      </c>
      <c r="C998" s="3">
        <v>2948</v>
      </c>
      <c r="D998" s="3">
        <v>395</v>
      </c>
      <c r="E998" s="3">
        <v>4031</v>
      </c>
      <c r="F998">
        <v>1965</v>
      </c>
      <c r="G998">
        <v>588</v>
      </c>
      <c r="H998">
        <v>92</v>
      </c>
      <c r="I998" t="s">
        <v>940</v>
      </c>
      <c r="J998">
        <v>10</v>
      </c>
      <c r="K998" t="s">
        <v>946</v>
      </c>
    </row>
    <row r="999" spans="1:11" x14ac:dyDescent="0.25">
      <c r="A999" t="s">
        <v>739</v>
      </c>
      <c r="B999" t="s">
        <v>937</v>
      </c>
      <c r="C999" s="3">
        <v>5817</v>
      </c>
      <c r="D999" s="3">
        <v>106</v>
      </c>
      <c r="E999" s="3">
        <v>7304</v>
      </c>
      <c r="F999">
        <v>4418</v>
      </c>
      <c r="G999">
        <v>1293</v>
      </c>
      <c r="H999">
        <v>23</v>
      </c>
      <c r="I999" t="s">
        <v>941</v>
      </c>
      <c r="J999">
        <v>8</v>
      </c>
      <c r="K999" t="s">
        <v>952</v>
      </c>
    </row>
    <row r="1000" spans="1:11" x14ac:dyDescent="0.25">
      <c r="A1000" t="s">
        <v>107</v>
      </c>
      <c r="B1000" t="s">
        <v>937</v>
      </c>
      <c r="C1000" s="3">
        <v>3719</v>
      </c>
      <c r="D1000" s="3">
        <v>-427</v>
      </c>
      <c r="E1000" s="3">
        <v>9490</v>
      </c>
      <c r="F1000">
        <v>2607</v>
      </c>
      <c r="G1000">
        <v>1539</v>
      </c>
      <c r="H1000">
        <v>92</v>
      </c>
      <c r="I1000" t="s">
        <v>942</v>
      </c>
      <c r="J1000">
        <v>2</v>
      </c>
      <c r="K1000" t="s">
        <v>943</v>
      </c>
    </row>
    <row r="1001" spans="1:11" x14ac:dyDescent="0.25">
      <c r="A1001" t="s">
        <v>314</v>
      </c>
      <c r="B1001" t="s">
        <v>936</v>
      </c>
      <c r="C1001" s="3">
        <v>5917</v>
      </c>
      <c r="D1001" s="3">
        <v>827</v>
      </c>
      <c r="E1001" s="3">
        <v>8406</v>
      </c>
      <c r="F1001">
        <v>3805</v>
      </c>
      <c r="G1001">
        <v>1285</v>
      </c>
      <c r="H1001">
        <v>61</v>
      </c>
      <c r="I1001" t="s">
        <v>939</v>
      </c>
      <c r="J1001">
        <v>10</v>
      </c>
      <c r="K1001" t="s">
        <v>946</v>
      </c>
    </row>
    <row r="1002" spans="1:11" x14ac:dyDescent="0.25">
      <c r="A1002" t="s">
        <v>383</v>
      </c>
      <c r="B1002" t="s">
        <v>936</v>
      </c>
      <c r="C1002" s="3">
        <v>4164</v>
      </c>
      <c r="D1002" s="3">
        <v>-741</v>
      </c>
      <c r="E1002" s="3">
        <v>5714</v>
      </c>
      <c r="F1002">
        <v>3660</v>
      </c>
      <c r="G1002">
        <v>1245</v>
      </c>
      <c r="H1002">
        <v>60</v>
      </c>
      <c r="I1002" t="s">
        <v>938</v>
      </c>
      <c r="J1002">
        <v>4</v>
      </c>
      <c r="K1002" t="s">
        <v>951</v>
      </c>
    </row>
    <row r="1003" spans="1:11" x14ac:dyDescent="0.25">
      <c r="A1003" t="s">
        <v>73</v>
      </c>
      <c r="B1003" t="s">
        <v>935</v>
      </c>
      <c r="C1003" s="3">
        <v>10580</v>
      </c>
      <c r="D1003" s="3">
        <v>7330</v>
      </c>
      <c r="E1003" s="3">
        <v>8121</v>
      </c>
      <c r="F1003">
        <v>3030</v>
      </c>
      <c r="G1003">
        <v>220</v>
      </c>
      <c r="H1003">
        <v>86</v>
      </c>
      <c r="I1003" t="s">
        <v>940</v>
      </c>
      <c r="J1003">
        <v>5</v>
      </c>
      <c r="K1003" t="s">
        <v>951</v>
      </c>
    </row>
    <row r="1004" spans="1:11" x14ac:dyDescent="0.25">
      <c r="A1004" t="s">
        <v>740</v>
      </c>
      <c r="B1004" t="s">
        <v>937</v>
      </c>
      <c r="C1004" s="3">
        <v>7960</v>
      </c>
      <c r="D1004" s="3">
        <v>3684</v>
      </c>
      <c r="E1004" s="3">
        <v>9818</v>
      </c>
      <c r="F1004">
        <v>3029</v>
      </c>
      <c r="G1004">
        <v>1247</v>
      </c>
      <c r="H1004">
        <v>12</v>
      </c>
      <c r="I1004" t="s">
        <v>940</v>
      </c>
      <c r="J1004">
        <v>7</v>
      </c>
      <c r="K1004" t="s">
        <v>944</v>
      </c>
    </row>
    <row r="1005" spans="1:11" x14ac:dyDescent="0.25">
      <c r="A1005" t="s">
        <v>334</v>
      </c>
      <c r="B1005" t="s">
        <v>936</v>
      </c>
      <c r="C1005" s="3">
        <v>4130</v>
      </c>
      <c r="D1005" s="3">
        <v>-1347</v>
      </c>
      <c r="E1005" s="3">
        <v>8570</v>
      </c>
      <c r="F1005">
        <v>4476</v>
      </c>
      <c r="G1005">
        <v>1001</v>
      </c>
      <c r="H1005">
        <v>103</v>
      </c>
      <c r="I1005" t="s">
        <v>941</v>
      </c>
      <c r="J1005">
        <v>10</v>
      </c>
      <c r="K1005" t="s">
        <v>954</v>
      </c>
    </row>
    <row r="1006" spans="1:11" x14ac:dyDescent="0.25">
      <c r="A1006" t="s">
        <v>741</v>
      </c>
      <c r="B1006" t="s">
        <v>936</v>
      </c>
      <c r="C1006" s="3">
        <v>3584</v>
      </c>
      <c r="D1006" s="3">
        <v>-2220</v>
      </c>
      <c r="E1006" s="3">
        <v>4405</v>
      </c>
      <c r="F1006">
        <v>4406</v>
      </c>
      <c r="G1006">
        <v>1398</v>
      </c>
      <c r="H1006">
        <v>119</v>
      </c>
      <c r="I1006" t="s">
        <v>942</v>
      </c>
      <c r="J1006">
        <v>3</v>
      </c>
      <c r="K1006" t="s">
        <v>947</v>
      </c>
    </row>
    <row r="1007" spans="1:11" x14ac:dyDescent="0.25">
      <c r="A1007" t="s">
        <v>742</v>
      </c>
      <c r="B1007" t="s">
        <v>937</v>
      </c>
      <c r="C1007" s="3">
        <v>3079</v>
      </c>
      <c r="D1007" s="3">
        <v>-3201</v>
      </c>
      <c r="E1007" s="3">
        <v>4206</v>
      </c>
      <c r="F1007">
        <v>4653</v>
      </c>
      <c r="G1007">
        <v>1627</v>
      </c>
      <c r="H1007">
        <v>34</v>
      </c>
      <c r="I1007" t="s">
        <v>940</v>
      </c>
      <c r="J1007">
        <v>7</v>
      </c>
      <c r="K1007" t="s">
        <v>943</v>
      </c>
    </row>
    <row r="1008" spans="1:11" x14ac:dyDescent="0.25">
      <c r="A1008" t="s">
        <v>151</v>
      </c>
      <c r="B1008" t="s">
        <v>935</v>
      </c>
      <c r="C1008" s="3">
        <v>9744</v>
      </c>
      <c r="D1008" s="3">
        <v>7853</v>
      </c>
      <c r="E1008" s="3">
        <v>7460</v>
      </c>
      <c r="F1008">
        <v>1070</v>
      </c>
      <c r="G1008">
        <v>821</v>
      </c>
      <c r="H1008">
        <v>27</v>
      </c>
      <c r="I1008" t="s">
        <v>939</v>
      </c>
      <c r="J1008">
        <v>1</v>
      </c>
      <c r="K1008" t="s">
        <v>952</v>
      </c>
    </row>
    <row r="1009" spans="1:11" x14ac:dyDescent="0.25">
      <c r="A1009" t="s">
        <v>743</v>
      </c>
      <c r="B1009" t="s">
        <v>936</v>
      </c>
      <c r="C1009" s="3">
        <v>7417</v>
      </c>
      <c r="D1009" s="3">
        <v>3042</v>
      </c>
      <c r="E1009" s="3">
        <v>9378</v>
      </c>
      <c r="F1009">
        <v>4130</v>
      </c>
      <c r="G1009">
        <v>245</v>
      </c>
      <c r="H1009">
        <v>67</v>
      </c>
      <c r="I1009" t="s">
        <v>939</v>
      </c>
      <c r="J1009">
        <v>4</v>
      </c>
      <c r="K1009" t="s">
        <v>953</v>
      </c>
    </row>
    <row r="1010" spans="1:11" x14ac:dyDescent="0.25">
      <c r="A1010" t="s">
        <v>659</v>
      </c>
      <c r="B1010" t="s">
        <v>934</v>
      </c>
      <c r="C1010" s="3">
        <v>6513</v>
      </c>
      <c r="D1010" s="3">
        <v>492</v>
      </c>
      <c r="E1010" s="3">
        <v>4014</v>
      </c>
      <c r="F1010">
        <v>4394</v>
      </c>
      <c r="G1010">
        <v>1627</v>
      </c>
      <c r="H1010">
        <v>88</v>
      </c>
      <c r="I1010" t="s">
        <v>938</v>
      </c>
      <c r="J1010">
        <v>1</v>
      </c>
      <c r="K1010" t="s">
        <v>954</v>
      </c>
    </row>
    <row r="1011" spans="1:11" x14ac:dyDescent="0.25">
      <c r="A1011" t="s">
        <v>118</v>
      </c>
      <c r="B1011" t="s">
        <v>934</v>
      </c>
      <c r="C1011" s="3">
        <v>8043</v>
      </c>
      <c r="D1011" s="3">
        <v>3792</v>
      </c>
      <c r="E1011" s="3">
        <v>7791</v>
      </c>
      <c r="F1011">
        <v>2881</v>
      </c>
      <c r="G1011">
        <v>1370</v>
      </c>
      <c r="H1011">
        <v>111</v>
      </c>
      <c r="I1011" t="s">
        <v>938</v>
      </c>
      <c r="J1011">
        <v>1</v>
      </c>
      <c r="K1011" t="s">
        <v>943</v>
      </c>
    </row>
    <row r="1012" spans="1:11" x14ac:dyDescent="0.25">
      <c r="A1012" t="s">
        <v>744</v>
      </c>
      <c r="B1012" t="s">
        <v>937</v>
      </c>
      <c r="C1012" s="3">
        <v>2286</v>
      </c>
      <c r="D1012" s="3">
        <v>-2671</v>
      </c>
      <c r="E1012" s="3">
        <v>5799</v>
      </c>
      <c r="F1012">
        <v>4576</v>
      </c>
      <c r="G1012">
        <v>381</v>
      </c>
      <c r="H1012">
        <v>106</v>
      </c>
      <c r="I1012" t="s">
        <v>941</v>
      </c>
      <c r="J1012">
        <v>4</v>
      </c>
      <c r="K1012" t="s">
        <v>943</v>
      </c>
    </row>
    <row r="1013" spans="1:11" x14ac:dyDescent="0.25">
      <c r="A1013" t="s">
        <v>216</v>
      </c>
      <c r="B1013" t="s">
        <v>935</v>
      </c>
      <c r="C1013" s="3">
        <v>11936</v>
      </c>
      <c r="D1013" s="3">
        <v>8855</v>
      </c>
      <c r="E1013" s="3">
        <v>9625</v>
      </c>
      <c r="F1013">
        <v>1654</v>
      </c>
      <c r="G1013">
        <v>1427</v>
      </c>
      <c r="H1013">
        <v>119</v>
      </c>
      <c r="I1013" t="s">
        <v>938</v>
      </c>
      <c r="J1013">
        <v>10</v>
      </c>
      <c r="K1013" t="s">
        <v>950</v>
      </c>
    </row>
    <row r="1014" spans="1:11" x14ac:dyDescent="0.25">
      <c r="A1014" t="s">
        <v>745</v>
      </c>
      <c r="B1014" t="s">
        <v>937</v>
      </c>
      <c r="C1014" s="3">
        <v>2028</v>
      </c>
      <c r="D1014" s="3">
        <v>-4214</v>
      </c>
      <c r="E1014" s="3">
        <v>8318</v>
      </c>
      <c r="F1014">
        <v>4752</v>
      </c>
      <c r="G1014">
        <v>1490</v>
      </c>
      <c r="H1014">
        <v>40</v>
      </c>
      <c r="I1014" t="s">
        <v>938</v>
      </c>
      <c r="J1014">
        <v>7</v>
      </c>
      <c r="K1014" t="s">
        <v>951</v>
      </c>
    </row>
    <row r="1015" spans="1:11" x14ac:dyDescent="0.25">
      <c r="A1015" t="s">
        <v>746</v>
      </c>
      <c r="B1015" t="s">
        <v>936</v>
      </c>
      <c r="C1015" s="3">
        <v>7923</v>
      </c>
      <c r="D1015" s="3">
        <v>1412</v>
      </c>
      <c r="E1015" s="3">
        <v>8201</v>
      </c>
      <c r="F1015">
        <v>4618</v>
      </c>
      <c r="G1015">
        <v>1893</v>
      </c>
      <c r="H1015">
        <v>75</v>
      </c>
      <c r="I1015" t="s">
        <v>939</v>
      </c>
      <c r="J1015">
        <v>5</v>
      </c>
      <c r="K1015" t="s">
        <v>952</v>
      </c>
    </row>
    <row r="1016" spans="1:11" x14ac:dyDescent="0.25">
      <c r="A1016" t="s">
        <v>391</v>
      </c>
      <c r="B1016" t="s">
        <v>937</v>
      </c>
      <c r="C1016" s="3">
        <v>11391</v>
      </c>
      <c r="D1016" s="3">
        <v>6429</v>
      </c>
      <c r="E1016" s="3">
        <v>7224</v>
      </c>
      <c r="F1016">
        <v>3920</v>
      </c>
      <c r="G1016">
        <v>1042</v>
      </c>
      <c r="H1016">
        <v>10</v>
      </c>
      <c r="I1016" t="s">
        <v>941</v>
      </c>
      <c r="J1016">
        <v>9</v>
      </c>
      <c r="K1016" t="s">
        <v>944</v>
      </c>
    </row>
    <row r="1017" spans="1:11" x14ac:dyDescent="0.25">
      <c r="A1017" t="s">
        <v>747</v>
      </c>
      <c r="B1017" t="s">
        <v>935</v>
      </c>
      <c r="C1017" s="3">
        <v>4368</v>
      </c>
      <c r="D1017" s="3">
        <v>2013</v>
      </c>
      <c r="E1017" s="3">
        <v>6863</v>
      </c>
      <c r="F1017">
        <v>1854</v>
      </c>
      <c r="G1017">
        <v>501</v>
      </c>
      <c r="H1017">
        <v>33</v>
      </c>
      <c r="I1017" t="s">
        <v>939</v>
      </c>
      <c r="J1017">
        <v>5</v>
      </c>
      <c r="K1017" t="s">
        <v>947</v>
      </c>
    </row>
    <row r="1018" spans="1:11" x14ac:dyDescent="0.25">
      <c r="A1018" t="s">
        <v>645</v>
      </c>
      <c r="B1018" t="s">
        <v>937</v>
      </c>
      <c r="C1018" s="3">
        <v>11726</v>
      </c>
      <c r="D1018" s="3">
        <v>9376</v>
      </c>
      <c r="E1018" s="3">
        <v>9350</v>
      </c>
      <c r="F1018">
        <v>1687</v>
      </c>
      <c r="G1018">
        <v>663</v>
      </c>
      <c r="H1018">
        <v>55</v>
      </c>
      <c r="I1018" t="s">
        <v>939</v>
      </c>
      <c r="J1018">
        <v>9</v>
      </c>
      <c r="K1018" t="s">
        <v>953</v>
      </c>
    </row>
    <row r="1019" spans="1:11" x14ac:dyDescent="0.25">
      <c r="A1019" t="s">
        <v>748</v>
      </c>
      <c r="B1019" t="s">
        <v>935</v>
      </c>
      <c r="C1019" s="3">
        <v>4930</v>
      </c>
      <c r="D1019" s="3">
        <v>-171</v>
      </c>
      <c r="E1019" s="3">
        <v>4081</v>
      </c>
      <c r="F1019">
        <v>3454</v>
      </c>
      <c r="G1019">
        <v>1647</v>
      </c>
      <c r="H1019">
        <v>87</v>
      </c>
      <c r="I1019" t="s">
        <v>942</v>
      </c>
      <c r="J1019">
        <v>7</v>
      </c>
      <c r="K1019" t="s">
        <v>945</v>
      </c>
    </row>
    <row r="1020" spans="1:11" x14ac:dyDescent="0.25">
      <c r="A1020" t="s">
        <v>497</v>
      </c>
      <c r="B1020" t="s">
        <v>937</v>
      </c>
      <c r="C1020" s="3">
        <v>9119</v>
      </c>
      <c r="D1020" s="3">
        <v>6386</v>
      </c>
      <c r="E1020" s="3">
        <v>5694</v>
      </c>
      <c r="F1020">
        <v>2242</v>
      </c>
      <c r="G1020">
        <v>491</v>
      </c>
      <c r="H1020">
        <v>111</v>
      </c>
      <c r="I1020" t="s">
        <v>942</v>
      </c>
      <c r="J1020">
        <v>10</v>
      </c>
      <c r="K1020" t="s">
        <v>951</v>
      </c>
    </row>
    <row r="1021" spans="1:11" x14ac:dyDescent="0.25">
      <c r="A1021" t="s">
        <v>579</v>
      </c>
      <c r="B1021" t="s">
        <v>937</v>
      </c>
      <c r="C1021" s="3">
        <v>9933</v>
      </c>
      <c r="D1021" s="3">
        <v>8553</v>
      </c>
      <c r="E1021" s="3">
        <v>4671</v>
      </c>
      <c r="F1021">
        <v>887</v>
      </c>
      <c r="G1021">
        <v>493</v>
      </c>
      <c r="H1021">
        <v>120</v>
      </c>
      <c r="I1021" t="s">
        <v>939</v>
      </c>
      <c r="J1021">
        <v>9</v>
      </c>
      <c r="K1021" t="s">
        <v>947</v>
      </c>
    </row>
    <row r="1022" spans="1:11" x14ac:dyDescent="0.25">
      <c r="A1022" t="s">
        <v>749</v>
      </c>
      <c r="B1022" t="s">
        <v>937</v>
      </c>
      <c r="C1022" s="3">
        <v>11249</v>
      </c>
      <c r="D1022" s="3">
        <v>9870</v>
      </c>
      <c r="E1022" s="3">
        <v>5633</v>
      </c>
      <c r="F1022">
        <v>1034</v>
      </c>
      <c r="G1022">
        <v>345</v>
      </c>
      <c r="H1022">
        <v>86</v>
      </c>
      <c r="I1022" t="s">
        <v>941</v>
      </c>
      <c r="J1022">
        <v>1</v>
      </c>
      <c r="K1022" t="s">
        <v>951</v>
      </c>
    </row>
    <row r="1023" spans="1:11" x14ac:dyDescent="0.25">
      <c r="A1023" t="s">
        <v>750</v>
      </c>
      <c r="B1023" t="s">
        <v>937</v>
      </c>
      <c r="C1023" s="3">
        <v>8295</v>
      </c>
      <c r="D1023" s="3">
        <v>2303</v>
      </c>
      <c r="E1023" s="3">
        <v>4304</v>
      </c>
      <c r="F1023">
        <v>4703</v>
      </c>
      <c r="G1023">
        <v>1289</v>
      </c>
      <c r="H1023">
        <v>81</v>
      </c>
      <c r="I1023" t="s">
        <v>940</v>
      </c>
      <c r="J1023">
        <v>8</v>
      </c>
      <c r="K1023" t="s">
        <v>953</v>
      </c>
    </row>
    <row r="1024" spans="1:11" x14ac:dyDescent="0.25">
      <c r="A1024" t="s">
        <v>283</v>
      </c>
      <c r="B1024" t="s">
        <v>937</v>
      </c>
      <c r="C1024" s="3">
        <v>7137</v>
      </c>
      <c r="D1024" s="3">
        <v>5466</v>
      </c>
      <c r="E1024" s="3">
        <v>9623</v>
      </c>
      <c r="F1024">
        <v>864</v>
      </c>
      <c r="G1024">
        <v>807</v>
      </c>
      <c r="H1024">
        <v>114</v>
      </c>
      <c r="I1024" t="s">
        <v>938</v>
      </c>
      <c r="J1024">
        <v>9</v>
      </c>
      <c r="K1024" t="s">
        <v>944</v>
      </c>
    </row>
    <row r="1025" spans="1:11" x14ac:dyDescent="0.25">
      <c r="A1025" t="s">
        <v>734</v>
      </c>
      <c r="B1025" t="s">
        <v>937</v>
      </c>
      <c r="C1025" s="3">
        <v>5532</v>
      </c>
      <c r="D1025" s="3">
        <v>1501</v>
      </c>
      <c r="E1025" s="3">
        <v>7410</v>
      </c>
      <c r="F1025">
        <v>2551</v>
      </c>
      <c r="G1025">
        <v>1480</v>
      </c>
      <c r="H1025">
        <v>93</v>
      </c>
      <c r="I1025" t="s">
        <v>940</v>
      </c>
      <c r="J1025">
        <v>9</v>
      </c>
      <c r="K1025" t="s">
        <v>946</v>
      </c>
    </row>
    <row r="1026" spans="1:11" x14ac:dyDescent="0.25">
      <c r="A1026" t="s">
        <v>751</v>
      </c>
      <c r="B1026" t="s">
        <v>935</v>
      </c>
      <c r="C1026" s="3">
        <v>4956</v>
      </c>
      <c r="D1026" s="3">
        <v>3045</v>
      </c>
      <c r="E1026" s="3">
        <v>5224</v>
      </c>
      <c r="F1026">
        <v>1347</v>
      </c>
      <c r="G1026">
        <v>564</v>
      </c>
      <c r="H1026">
        <v>37</v>
      </c>
      <c r="I1026" t="s">
        <v>940</v>
      </c>
      <c r="J1026">
        <v>2</v>
      </c>
      <c r="K1026" t="s">
        <v>949</v>
      </c>
    </row>
    <row r="1027" spans="1:11" x14ac:dyDescent="0.25">
      <c r="A1027" t="s">
        <v>164</v>
      </c>
      <c r="B1027" t="s">
        <v>937</v>
      </c>
      <c r="C1027" s="3">
        <v>9850</v>
      </c>
      <c r="D1027" s="3">
        <v>3864</v>
      </c>
      <c r="E1027" s="3">
        <v>4366</v>
      </c>
      <c r="F1027">
        <v>4764</v>
      </c>
      <c r="G1027">
        <v>1222</v>
      </c>
      <c r="H1027">
        <v>113</v>
      </c>
      <c r="I1027" t="s">
        <v>942</v>
      </c>
      <c r="J1027">
        <v>8</v>
      </c>
      <c r="K1027" t="s">
        <v>946</v>
      </c>
    </row>
    <row r="1028" spans="1:11" x14ac:dyDescent="0.25">
      <c r="A1028" t="s">
        <v>752</v>
      </c>
      <c r="B1028" t="s">
        <v>937</v>
      </c>
      <c r="C1028" s="3">
        <v>9667</v>
      </c>
      <c r="D1028" s="3">
        <v>7056</v>
      </c>
      <c r="E1028" s="3">
        <v>9450</v>
      </c>
      <c r="F1028">
        <v>1227</v>
      </c>
      <c r="G1028">
        <v>1384</v>
      </c>
      <c r="H1028">
        <v>42</v>
      </c>
      <c r="I1028" t="s">
        <v>940</v>
      </c>
      <c r="J1028">
        <v>1</v>
      </c>
      <c r="K1028" t="s">
        <v>943</v>
      </c>
    </row>
    <row r="1029" spans="1:11" x14ac:dyDescent="0.25">
      <c r="A1029" t="s">
        <v>753</v>
      </c>
      <c r="B1029" t="s">
        <v>937</v>
      </c>
      <c r="C1029" s="3">
        <v>9535</v>
      </c>
      <c r="D1029" s="3">
        <v>7043</v>
      </c>
      <c r="E1029" s="3">
        <v>6025</v>
      </c>
      <c r="F1029">
        <v>1233</v>
      </c>
      <c r="G1029">
        <v>1259</v>
      </c>
      <c r="H1029">
        <v>104</v>
      </c>
      <c r="I1029" t="s">
        <v>941</v>
      </c>
      <c r="J1029">
        <v>1</v>
      </c>
      <c r="K1029" t="s">
        <v>951</v>
      </c>
    </row>
    <row r="1030" spans="1:11" x14ac:dyDescent="0.25">
      <c r="A1030" t="s">
        <v>754</v>
      </c>
      <c r="B1030" t="s">
        <v>937</v>
      </c>
      <c r="C1030" s="3">
        <v>3869</v>
      </c>
      <c r="D1030" s="3">
        <v>1567</v>
      </c>
      <c r="E1030" s="3">
        <v>7694</v>
      </c>
      <c r="F1030">
        <v>1000</v>
      </c>
      <c r="G1030">
        <v>1302</v>
      </c>
      <c r="H1030">
        <v>17</v>
      </c>
      <c r="I1030" t="s">
        <v>939</v>
      </c>
      <c r="J1030">
        <v>1</v>
      </c>
      <c r="K1030" t="s">
        <v>947</v>
      </c>
    </row>
    <row r="1031" spans="1:11" x14ac:dyDescent="0.25">
      <c r="A1031" t="s">
        <v>755</v>
      </c>
      <c r="B1031" t="s">
        <v>934</v>
      </c>
      <c r="C1031" s="3">
        <v>2095</v>
      </c>
      <c r="D1031" s="3">
        <v>-928</v>
      </c>
      <c r="E1031" s="3">
        <v>9343</v>
      </c>
      <c r="F1031">
        <v>2548</v>
      </c>
      <c r="G1031">
        <v>475</v>
      </c>
      <c r="H1031">
        <v>78</v>
      </c>
      <c r="I1031" t="s">
        <v>938</v>
      </c>
      <c r="J1031">
        <v>3</v>
      </c>
      <c r="K1031" t="s">
        <v>946</v>
      </c>
    </row>
    <row r="1032" spans="1:11" x14ac:dyDescent="0.25">
      <c r="A1032" t="s">
        <v>756</v>
      </c>
      <c r="B1032" t="s">
        <v>937</v>
      </c>
      <c r="C1032" s="3">
        <v>10417</v>
      </c>
      <c r="D1032" s="3">
        <v>5516</v>
      </c>
      <c r="E1032" s="3">
        <v>9168</v>
      </c>
      <c r="F1032">
        <v>4281</v>
      </c>
      <c r="G1032">
        <v>620</v>
      </c>
      <c r="H1032">
        <v>49</v>
      </c>
      <c r="I1032" t="s">
        <v>942</v>
      </c>
      <c r="J1032">
        <v>7</v>
      </c>
      <c r="K1032" t="s">
        <v>946</v>
      </c>
    </row>
    <row r="1033" spans="1:11" x14ac:dyDescent="0.25">
      <c r="A1033" t="s">
        <v>618</v>
      </c>
      <c r="B1033" t="s">
        <v>935</v>
      </c>
      <c r="C1033" s="3">
        <v>6536</v>
      </c>
      <c r="D1033" s="3">
        <v>2191</v>
      </c>
      <c r="E1033" s="3">
        <v>6526</v>
      </c>
      <c r="F1033">
        <v>3347</v>
      </c>
      <c r="G1033">
        <v>998</v>
      </c>
      <c r="H1033">
        <v>57</v>
      </c>
      <c r="I1033" t="s">
        <v>941</v>
      </c>
      <c r="J1033">
        <v>6</v>
      </c>
      <c r="K1033" t="s">
        <v>947</v>
      </c>
    </row>
    <row r="1034" spans="1:11" x14ac:dyDescent="0.25">
      <c r="A1034" t="s">
        <v>393</v>
      </c>
      <c r="B1034" t="s">
        <v>934</v>
      </c>
      <c r="C1034" s="3">
        <v>5724</v>
      </c>
      <c r="D1034" s="3">
        <v>3249</v>
      </c>
      <c r="E1034" s="3">
        <v>8619</v>
      </c>
      <c r="F1034">
        <v>1044</v>
      </c>
      <c r="G1034">
        <v>1431</v>
      </c>
      <c r="H1034">
        <v>118</v>
      </c>
      <c r="I1034" t="s">
        <v>940</v>
      </c>
      <c r="J1034">
        <v>9</v>
      </c>
      <c r="K1034" t="s">
        <v>946</v>
      </c>
    </row>
    <row r="1035" spans="1:11" x14ac:dyDescent="0.25">
      <c r="A1035" t="s">
        <v>320</v>
      </c>
      <c r="B1035" t="s">
        <v>934</v>
      </c>
      <c r="C1035" s="3">
        <v>3136</v>
      </c>
      <c r="D1035" s="3">
        <v>-2848</v>
      </c>
      <c r="E1035" s="3">
        <v>4451</v>
      </c>
      <c r="F1035">
        <v>4190</v>
      </c>
      <c r="G1035">
        <v>1794</v>
      </c>
      <c r="H1035">
        <v>32</v>
      </c>
      <c r="I1035" t="s">
        <v>938</v>
      </c>
      <c r="J1035">
        <v>1</v>
      </c>
      <c r="K1035" t="s">
        <v>947</v>
      </c>
    </row>
    <row r="1036" spans="1:11" x14ac:dyDescent="0.25">
      <c r="A1036" t="s">
        <v>222</v>
      </c>
      <c r="B1036" t="s">
        <v>935</v>
      </c>
      <c r="C1036" s="3">
        <v>7224</v>
      </c>
      <c r="D1036" s="3">
        <v>4779</v>
      </c>
      <c r="E1036" s="3">
        <v>8906</v>
      </c>
      <c r="F1036">
        <v>1234</v>
      </c>
      <c r="G1036">
        <v>1211</v>
      </c>
      <c r="H1036">
        <v>87</v>
      </c>
      <c r="I1036" t="s">
        <v>938</v>
      </c>
      <c r="J1036">
        <v>9</v>
      </c>
      <c r="K1036" t="s">
        <v>953</v>
      </c>
    </row>
    <row r="1037" spans="1:11" x14ac:dyDescent="0.25">
      <c r="A1037" t="s">
        <v>276</v>
      </c>
      <c r="B1037" t="s">
        <v>937</v>
      </c>
      <c r="C1037" s="3">
        <v>3117</v>
      </c>
      <c r="D1037" s="3">
        <v>809</v>
      </c>
      <c r="E1037" s="3">
        <v>5953</v>
      </c>
      <c r="F1037">
        <v>952</v>
      </c>
      <c r="G1037">
        <v>1356</v>
      </c>
      <c r="H1037">
        <v>78</v>
      </c>
      <c r="I1037" t="s">
        <v>941</v>
      </c>
      <c r="J1037">
        <v>8</v>
      </c>
      <c r="K1037" t="s">
        <v>944</v>
      </c>
    </row>
    <row r="1038" spans="1:11" x14ac:dyDescent="0.25">
      <c r="A1038" t="s">
        <v>512</v>
      </c>
      <c r="B1038" t="s">
        <v>936</v>
      </c>
      <c r="C1038" s="3">
        <v>5055</v>
      </c>
      <c r="D1038" s="3">
        <v>2939</v>
      </c>
      <c r="E1038" s="3">
        <v>9430</v>
      </c>
      <c r="F1038">
        <v>806</v>
      </c>
      <c r="G1038">
        <v>1310</v>
      </c>
      <c r="H1038">
        <v>115</v>
      </c>
      <c r="I1038" t="s">
        <v>938</v>
      </c>
      <c r="J1038">
        <v>10</v>
      </c>
      <c r="K1038" t="s">
        <v>943</v>
      </c>
    </row>
    <row r="1039" spans="1:11" x14ac:dyDescent="0.25">
      <c r="A1039" t="s">
        <v>378</v>
      </c>
      <c r="B1039" t="s">
        <v>936</v>
      </c>
      <c r="C1039" s="3">
        <v>11748</v>
      </c>
      <c r="D1039" s="3">
        <v>8843</v>
      </c>
      <c r="E1039" s="3">
        <v>9209</v>
      </c>
      <c r="F1039">
        <v>1841</v>
      </c>
      <c r="G1039">
        <v>1064</v>
      </c>
      <c r="H1039">
        <v>11</v>
      </c>
      <c r="I1039" t="s">
        <v>940</v>
      </c>
      <c r="J1039">
        <v>2</v>
      </c>
      <c r="K1039" t="s">
        <v>951</v>
      </c>
    </row>
    <row r="1040" spans="1:11" x14ac:dyDescent="0.25">
      <c r="A1040" t="s">
        <v>18</v>
      </c>
      <c r="B1040" t="s">
        <v>935</v>
      </c>
      <c r="C1040" s="3">
        <v>2241</v>
      </c>
      <c r="D1040" s="3">
        <v>-2403</v>
      </c>
      <c r="E1040" s="3">
        <v>4767</v>
      </c>
      <c r="F1040">
        <v>3044</v>
      </c>
      <c r="G1040">
        <v>1600</v>
      </c>
      <c r="H1040">
        <v>25</v>
      </c>
      <c r="I1040" t="s">
        <v>938</v>
      </c>
      <c r="J1040">
        <v>2</v>
      </c>
      <c r="K1040" t="s">
        <v>950</v>
      </c>
    </row>
    <row r="1041" spans="1:11" x14ac:dyDescent="0.25">
      <c r="A1041" t="s">
        <v>217</v>
      </c>
      <c r="B1041" t="s">
        <v>935</v>
      </c>
      <c r="C1041" s="3">
        <v>6623</v>
      </c>
      <c r="D1041" s="3">
        <v>4136</v>
      </c>
      <c r="E1041" s="3">
        <v>4508</v>
      </c>
      <c r="F1041">
        <v>1292</v>
      </c>
      <c r="G1041">
        <v>1195</v>
      </c>
      <c r="H1041">
        <v>84</v>
      </c>
      <c r="I1041" t="s">
        <v>940</v>
      </c>
      <c r="J1041">
        <v>9</v>
      </c>
      <c r="K1041" t="s">
        <v>946</v>
      </c>
    </row>
    <row r="1042" spans="1:11" x14ac:dyDescent="0.25">
      <c r="A1042" t="s">
        <v>453</v>
      </c>
      <c r="B1042" t="s">
        <v>935</v>
      </c>
      <c r="C1042" s="3">
        <v>5444</v>
      </c>
      <c r="D1042" s="3">
        <v>3516</v>
      </c>
      <c r="E1042" s="3">
        <v>8583</v>
      </c>
      <c r="F1042">
        <v>878</v>
      </c>
      <c r="G1042">
        <v>1050</v>
      </c>
      <c r="H1042">
        <v>69</v>
      </c>
      <c r="I1042" t="s">
        <v>942</v>
      </c>
      <c r="J1042">
        <v>5</v>
      </c>
      <c r="K1042" t="s">
        <v>946</v>
      </c>
    </row>
    <row r="1043" spans="1:11" x14ac:dyDescent="0.25">
      <c r="A1043" t="s">
        <v>518</v>
      </c>
      <c r="B1043" t="s">
        <v>934</v>
      </c>
      <c r="C1043" s="3">
        <v>6722</v>
      </c>
      <c r="D1043" s="3">
        <v>2859</v>
      </c>
      <c r="E1043" s="3">
        <v>8495</v>
      </c>
      <c r="F1043">
        <v>1949</v>
      </c>
      <c r="G1043">
        <v>1914</v>
      </c>
      <c r="H1043">
        <v>71</v>
      </c>
      <c r="I1043" t="s">
        <v>939</v>
      </c>
      <c r="J1043">
        <v>6</v>
      </c>
      <c r="K1043" t="s">
        <v>945</v>
      </c>
    </row>
    <row r="1044" spans="1:11" x14ac:dyDescent="0.25">
      <c r="A1044" t="s">
        <v>757</v>
      </c>
      <c r="B1044" t="s">
        <v>937</v>
      </c>
      <c r="C1044" s="3">
        <v>2034</v>
      </c>
      <c r="D1044" s="3">
        <v>-2832</v>
      </c>
      <c r="E1044" s="3">
        <v>5840</v>
      </c>
      <c r="F1044">
        <v>4461</v>
      </c>
      <c r="G1044">
        <v>405</v>
      </c>
      <c r="H1044">
        <v>87</v>
      </c>
      <c r="I1044" t="s">
        <v>941</v>
      </c>
      <c r="J1044">
        <v>3</v>
      </c>
      <c r="K1044" t="s">
        <v>943</v>
      </c>
    </row>
    <row r="1045" spans="1:11" x14ac:dyDescent="0.25">
      <c r="A1045" t="s">
        <v>758</v>
      </c>
      <c r="B1045" t="s">
        <v>936</v>
      </c>
      <c r="C1045" s="3">
        <v>11301</v>
      </c>
      <c r="D1045" s="3">
        <v>5864</v>
      </c>
      <c r="E1045" s="3">
        <v>9311</v>
      </c>
      <c r="F1045">
        <v>3669</v>
      </c>
      <c r="G1045">
        <v>1768</v>
      </c>
      <c r="H1045">
        <v>48</v>
      </c>
      <c r="I1045" t="s">
        <v>939</v>
      </c>
      <c r="J1045">
        <v>1</v>
      </c>
      <c r="K1045" t="s">
        <v>954</v>
      </c>
    </row>
    <row r="1046" spans="1:11" x14ac:dyDescent="0.25">
      <c r="A1046" t="s">
        <v>63</v>
      </c>
      <c r="B1046" t="s">
        <v>936</v>
      </c>
      <c r="C1046" s="3">
        <v>7837</v>
      </c>
      <c r="D1046" s="3">
        <v>3833</v>
      </c>
      <c r="E1046" s="3">
        <v>6901</v>
      </c>
      <c r="F1046">
        <v>3450</v>
      </c>
      <c r="G1046">
        <v>554</v>
      </c>
      <c r="H1046">
        <v>92</v>
      </c>
      <c r="I1046" t="s">
        <v>941</v>
      </c>
      <c r="J1046">
        <v>7</v>
      </c>
      <c r="K1046" t="s">
        <v>948</v>
      </c>
    </row>
    <row r="1047" spans="1:11" x14ac:dyDescent="0.25">
      <c r="A1047" t="s">
        <v>759</v>
      </c>
      <c r="B1047" t="s">
        <v>935</v>
      </c>
      <c r="C1047" s="3">
        <v>10335</v>
      </c>
      <c r="D1047" s="3">
        <v>5944</v>
      </c>
      <c r="E1047" s="3">
        <v>5246</v>
      </c>
      <c r="F1047">
        <v>3451</v>
      </c>
      <c r="G1047">
        <v>940</v>
      </c>
      <c r="H1047">
        <v>88</v>
      </c>
      <c r="I1047" t="s">
        <v>942</v>
      </c>
      <c r="J1047">
        <v>9</v>
      </c>
      <c r="K1047" t="s">
        <v>951</v>
      </c>
    </row>
    <row r="1048" spans="1:11" x14ac:dyDescent="0.25">
      <c r="A1048" t="s">
        <v>103</v>
      </c>
      <c r="B1048" t="s">
        <v>936</v>
      </c>
      <c r="C1048" s="3">
        <v>7910</v>
      </c>
      <c r="D1048" s="3">
        <v>2580</v>
      </c>
      <c r="E1048" s="3">
        <v>7089</v>
      </c>
      <c r="F1048">
        <v>4957</v>
      </c>
      <c r="G1048">
        <v>373</v>
      </c>
      <c r="H1048">
        <v>37</v>
      </c>
      <c r="I1048" t="s">
        <v>939</v>
      </c>
      <c r="J1048">
        <v>1</v>
      </c>
      <c r="K1048" t="s">
        <v>943</v>
      </c>
    </row>
    <row r="1049" spans="1:11" x14ac:dyDescent="0.25">
      <c r="A1049" t="s">
        <v>760</v>
      </c>
      <c r="B1049" t="s">
        <v>937</v>
      </c>
      <c r="C1049" s="3">
        <v>7366</v>
      </c>
      <c r="D1049" s="3">
        <v>1349</v>
      </c>
      <c r="E1049" s="3">
        <v>4298</v>
      </c>
      <c r="F1049">
        <v>4548</v>
      </c>
      <c r="G1049">
        <v>1469</v>
      </c>
      <c r="H1049">
        <v>20</v>
      </c>
      <c r="I1049" t="s">
        <v>940</v>
      </c>
      <c r="J1049">
        <v>9</v>
      </c>
      <c r="K1049" t="s">
        <v>948</v>
      </c>
    </row>
    <row r="1050" spans="1:11" x14ac:dyDescent="0.25">
      <c r="A1050" t="s">
        <v>40</v>
      </c>
      <c r="B1050" t="s">
        <v>934</v>
      </c>
      <c r="C1050" s="3">
        <v>11565</v>
      </c>
      <c r="D1050" s="3">
        <v>8281</v>
      </c>
      <c r="E1050" s="3">
        <v>7828</v>
      </c>
      <c r="F1050">
        <v>1895</v>
      </c>
      <c r="G1050">
        <v>1389</v>
      </c>
      <c r="H1050">
        <v>24</v>
      </c>
      <c r="I1050" t="s">
        <v>938</v>
      </c>
      <c r="J1050">
        <v>8</v>
      </c>
      <c r="K1050" t="s">
        <v>943</v>
      </c>
    </row>
    <row r="1051" spans="1:11" x14ac:dyDescent="0.25">
      <c r="A1051" t="s">
        <v>420</v>
      </c>
      <c r="B1051" t="s">
        <v>937</v>
      </c>
      <c r="C1051" s="3">
        <v>8754</v>
      </c>
      <c r="D1051" s="3">
        <v>3018</v>
      </c>
      <c r="E1051" s="3">
        <v>4750</v>
      </c>
      <c r="F1051">
        <v>3873</v>
      </c>
      <c r="G1051">
        <v>1863</v>
      </c>
      <c r="H1051">
        <v>28</v>
      </c>
      <c r="I1051" t="s">
        <v>940</v>
      </c>
      <c r="J1051">
        <v>7</v>
      </c>
      <c r="K1051" t="s">
        <v>951</v>
      </c>
    </row>
    <row r="1052" spans="1:11" x14ac:dyDescent="0.25">
      <c r="A1052" t="s">
        <v>30</v>
      </c>
      <c r="B1052" t="s">
        <v>936</v>
      </c>
      <c r="C1052" s="3">
        <v>11691</v>
      </c>
      <c r="D1052" s="3">
        <v>7032</v>
      </c>
      <c r="E1052" s="3">
        <v>8249</v>
      </c>
      <c r="F1052">
        <v>4158</v>
      </c>
      <c r="G1052">
        <v>501</v>
      </c>
      <c r="H1052">
        <v>28</v>
      </c>
      <c r="I1052" t="s">
        <v>940</v>
      </c>
      <c r="J1052">
        <v>6</v>
      </c>
      <c r="K1052" t="s">
        <v>947</v>
      </c>
    </row>
    <row r="1053" spans="1:11" x14ac:dyDescent="0.25">
      <c r="A1053" t="s">
        <v>406</v>
      </c>
      <c r="B1053" t="s">
        <v>935</v>
      </c>
      <c r="C1053" s="3">
        <v>6358</v>
      </c>
      <c r="D1053" s="3">
        <v>3207</v>
      </c>
      <c r="E1053" s="3">
        <v>8378</v>
      </c>
      <c r="F1053">
        <v>1674</v>
      </c>
      <c r="G1053">
        <v>1477</v>
      </c>
      <c r="H1053">
        <v>39</v>
      </c>
      <c r="I1053" t="s">
        <v>941</v>
      </c>
      <c r="J1053">
        <v>10</v>
      </c>
      <c r="K1053" t="s">
        <v>953</v>
      </c>
    </row>
    <row r="1054" spans="1:11" x14ac:dyDescent="0.25">
      <c r="A1054" t="s">
        <v>761</v>
      </c>
      <c r="B1054" t="s">
        <v>935</v>
      </c>
      <c r="C1054" s="3">
        <v>3132</v>
      </c>
      <c r="D1054" s="3">
        <v>-1280</v>
      </c>
      <c r="E1054" s="3">
        <v>9166</v>
      </c>
      <c r="F1054">
        <v>2444</v>
      </c>
      <c r="G1054">
        <v>1968</v>
      </c>
      <c r="H1054">
        <v>113</v>
      </c>
      <c r="I1054" t="s">
        <v>938</v>
      </c>
      <c r="J1054">
        <v>3</v>
      </c>
      <c r="K1054" t="s">
        <v>947</v>
      </c>
    </row>
    <row r="1055" spans="1:11" x14ac:dyDescent="0.25">
      <c r="A1055" t="s">
        <v>762</v>
      </c>
      <c r="B1055" t="s">
        <v>937</v>
      </c>
      <c r="C1055" s="3">
        <v>10754</v>
      </c>
      <c r="D1055" s="3">
        <v>5114</v>
      </c>
      <c r="E1055" s="3">
        <v>5903</v>
      </c>
      <c r="F1055">
        <v>4781</v>
      </c>
      <c r="G1055">
        <v>859</v>
      </c>
      <c r="H1055">
        <v>89</v>
      </c>
      <c r="I1055" t="s">
        <v>938</v>
      </c>
      <c r="J1055">
        <v>8</v>
      </c>
      <c r="K1055" t="s">
        <v>947</v>
      </c>
    </row>
    <row r="1056" spans="1:11" x14ac:dyDescent="0.25">
      <c r="A1056" t="s">
        <v>723</v>
      </c>
      <c r="B1056" t="s">
        <v>935</v>
      </c>
      <c r="C1056" s="3">
        <v>4887</v>
      </c>
      <c r="D1056" s="3">
        <v>218</v>
      </c>
      <c r="E1056" s="3">
        <v>9597</v>
      </c>
      <c r="F1056">
        <v>4202</v>
      </c>
      <c r="G1056">
        <v>467</v>
      </c>
      <c r="H1056">
        <v>76</v>
      </c>
      <c r="I1056" t="s">
        <v>940</v>
      </c>
      <c r="J1056">
        <v>4</v>
      </c>
      <c r="K1056" t="s">
        <v>950</v>
      </c>
    </row>
    <row r="1057" spans="1:11" x14ac:dyDescent="0.25">
      <c r="A1057" t="s">
        <v>170</v>
      </c>
      <c r="B1057" t="s">
        <v>936</v>
      </c>
      <c r="C1057" s="3">
        <v>6099</v>
      </c>
      <c r="D1057" s="3">
        <v>609</v>
      </c>
      <c r="E1057" s="3">
        <v>9048</v>
      </c>
      <c r="F1057">
        <v>4226</v>
      </c>
      <c r="G1057">
        <v>1264</v>
      </c>
      <c r="H1057">
        <v>59</v>
      </c>
      <c r="I1057" t="s">
        <v>940</v>
      </c>
      <c r="J1057">
        <v>5</v>
      </c>
      <c r="K1057" t="s">
        <v>947</v>
      </c>
    </row>
    <row r="1058" spans="1:11" x14ac:dyDescent="0.25">
      <c r="A1058" t="s">
        <v>763</v>
      </c>
      <c r="B1058" t="s">
        <v>936</v>
      </c>
      <c r="C1058" s="3">
        <v>9420</v>
      </c>
      <c r="D1058" s="3">
        <v>4111</v>
      </c>
      <c r="E1058" s="3">
        <v>7040</v>
      </c>
      <c r="F1058">
        <v>4471</v>
      </c>
      <c r="G1058">
        <v>838</v>
      </c>
      <c r="H1058">
        <v>78</v>
      </c>
      <c r="I1058" t="s">
        <v>939</v>
      </c>
      <c r="J1058">
        <v>6</v>
      </c>
      <c r="K1058" t="s">
        <v>945</v>
      </c>
    </row>
    <row r="1059" spans="1:11" x14ac:dyDescent="0.25">
      <c r="A1059" t="s">
        <v>764</v>
      </c>
      <c r="B1059" t="s">
        <v>935</v>
      </c>
      <c r="C1059" s="3">
        <v>4386</v>
      </c>
      <c r="D1059" s="3">
        <v>-1104</v>
      </c>
      <c r="E1059" s="3">
        <v>5347</v>
      </c>
      <c r="F1059">
        <v>4152</v>
      </c>
      <c r="G1059">
        <v>1338</v>
      </c>
      <c r="H1059">
        <v>46</v>
      </c>
      <c r="I1059" t="s">
        <v>942</v>
      </c>
      <c r="J1059">
        <v>2</v>
      </c>
      <c r="K1059" t="s">
        <v>949</v>
      </c>
    </row>
    <row r="1060" spans="1:11" x14ac:dyDescent="0.25">
      <c r="A1060" t="s">
        <v>765</v>
      </c>
      <c r="B1060" t="s">
        <v>937</v>
      </c>
      <c r="C1060" s="3">
        <v>9789</v>
      </c>
      <c r="D1060" s="3">
        <v>7212</v>
      </c>
      <c r="E1060" s="3">
        <v>4270</v>
      </c>
      <c r="F1060">
        <v>1301</v>
      </c>
      <c r="G1060">
        <v>1276</v>
      </c>
      <c r="H1060">
        <v>18</v>
      </c>
      <c r="I1060" t="s">
        <v>938</v>
      </c>
      <c r="J1060">
        <v>3</v>
      </c>
      <c r="K1060" t="s">
        <v>947</v>
      </c>
    </row>
    <row r="1061" spans="1:11" x14ac:dyDescent="0.25">
      <c r="A1061" t="s">
        <v>766</v>
      </c>
      <c r="B1061" t="s">
        <v>934</v>
      </c>
      <c r="C1061" s="3">
        <v>5129</v>
      </c>
      <c r="D1061" s="3">
        <v>-1143</v>
      </c>
      <c r="E1061" s="3">
        <v>9608</v>
      </c>
      <c r="F1061">
        <v>4847</v>
      </c>
      <c r="G1061">
        <v>1425</v>
      </c>
      <c r="H1061">
        <v>110</v>
      </c>
      <c r="I1061" t="s">
        <v>938</v>
      </c>
      <c r="J1061">
        <v>2</v>
      </c>
      <c r="K1061" t="s">
        <v>948</v>
      </c>
    </row>
    <row r="1062" spans="1:11" x14ac:dyDescent="0.25">
      <c r="A1062" t="s">
        <v>257</v>
      </c>
      <c r="B1062" t="s">
        <v>937</v>
      </c>
      <c r="C1062" s="3">
        <v>6505</v>
      </c>
      <c r="D1062" s="3">
        <v>3704</v>
      </c>
      <c r="E1062" s="3">
        <v>9219</v>
      </c>
      <c r="F1062">
        <v>2374</v>
      </c>
      <c r="G1062">
        <v>427</v>
      </c>
      <c r="H1062">
        <v>11</v>
      </c>
      <c r="I1062" t="s">
        <v>941</v>
      </c>
      <c r="J1062">
        <v>8</v>
      </c>
      <c r="K1062" t="s">
        <v>949</v>
      </c>
    </row>
    <row r="1063" spans="1:11" x14ac:dyDescent="0.25">
      <c r="A1063" t="s">
        <v>767</v>
      </c>
      <c r="B1063" t="s">
        <v>935</v>
      </c>
      <c r="C1063" s="3">
        <v>2138</v>
      </c>
      <c r="D1063" s="3">
        <v>-1224</v>
      </c>
      <c r="E1063" s="3">
        <v>9973</v>
      </c>
      <c r="F1063">
        <v>1470</v>
      </c>
      <c r="G1063">
        <v>1892</v>
      </c>
      <c r="H1063">
        <v>27</v>
      </c>
      <c r="I1063" t="s">
        <v>941</v>
      </c>
      <c r="J1063">
        <v>1</v>
      </c>
      <c r="K1063" t="s">
        <v>947</v>
      </c>
    </row>
    <row r="1064" spans="1:11" x14ac:dyDescent="0.25">
      <c r="A1064" t="s">
        <v>528</v>
      </c>
      <c r="B1064" t="s">
        <v>935</v>
      </c>
      <c r="C1064" s="3">
        <v>9917</v>
      </c>
      <c r="D1064" s="3">
        <v>8289</v>
      </c>
      <c r="E1064" s="3">
        <v>4515</v>
      </c>
      <c r="F1064">
        <v>1242</v>
      </c>
      <c r="G1064">
        <v>386</v>
      </c>
      <c r="H1064">
        <v>115</v>
      </c>
      <c r="I1064" t="s">
        <v>941</v>
      </c>
      <c r="J1064">
        <v>4</v>
      </c>
      <c r="K1064" t="s">
        <v>952</v>
      </c>
    </row>
    <row r="1065" spans="1:11" x14ac:dyDescent="0.25">
      <c r="A1065" t="s">
        <v>753</v>
      </c>
      <c r="B1065" t="s">
        <v>935</v>
      </c>
      <c r="C1065" s="3">
        <v>11848</v>
      </c>
      <c r="D1065" s="3">
        <v>10222</v>
      </c>
      <c r="E1065" s="3">
        <v>7634</v>
      </c>
      <c r="F1065">
        <v>1316</v>
      </c>
      <c r="G1065">
        <v>310</v>
      </c>
      <c r="H1065">
        <v>50</v>
      </c>
      <c r="I1065" t="s">
        <v>938</v>
      </c>
      <c r="J1065">
        <v>10</v>
      </c>
      <c r="K1065" t="s">
        <v>951</v>
      </c>
    </row>
    <row r="1066" spans="1:11" x14ac:dyDescent="0.25">
      <c r="A1066" t="s">
        <v>768</v>
      </c>
      <c r="B1066" t="s">
        <v>934</v>
      </c>
      <c r="C1066" s="3">
        <v>6540</v>
      </c>
      <c r="D1066" s="3">
        <v>3087</v>
      </c>
      <c r="E1066" s="3">
        <v>8789</v>
      </c>
      <c r="F1066">
        <v>2593</v>
      </c>
      <c r="G1066">
        <v>860</v>
      </c>
      <c r="H1066">
        <v>42</v>
      </c>
      <c r="I1066" t="s">
        <v>939</v>
      </c>
      <c r="J1066">
        <v>10</v>
      </c>
      <c r="K1066" t="s">
        <v>944</v>
      </c>
    </row>
    <row r="1067" spans="1:11" x14ac:dyDescent="0.25">
      <c r="A1067" t="s">
        <v>137</v>
      </c>
      <c r="B1067" t="s">
        <v>936</v>
      </c>
      <c r="C1067" s="3">
        <v>6825</v>
      </c>
      <c r="D1067" s="3">
        <v>3417</v>
      </c>
      <c r="E1067" s="3">
        <v>5920</v>
      </c>
      <c r="F1067">
        <v>3054</v>
      </c>
      <c r="G1067">
        <v>354</v>
      </c>
      <c r="H1067">
        <v>26</v>
      </c>
      <c r="I1067" t="s">
        <v>940</v>
      </c>
      <c r="J1067">
        <v>3</v>
      </c>
      <c r="K1067" t="s">
        <v>954</v>
      </c>
    </row>
    <row r="1068" spans="1:11" x14ac:dyDescent="0.25">
      <c r="A1068" t="s">
        <v>356</v>
      </c>
      <c r="B1068" t="s">
        <v>936</v>
      </c>
      <c r="C1068" s="3">
        <v>10935</v>
      </c>
      <c r="D1068" s="3">
        <v>6855</v>
      </c>
      <c r="E1068" s="3">
        <v>6586</v>
      </c>
      <c r="F1068">
        <v>3734</v>
      </c>
      <c r="G1068">
        <v>346</v>
      </c>
      <c r="H1068">
        <v>116</v>
      </c>
      <c r="I1068" t="s">
        <v>938</v>
      </c>
      <c r="J1068">
        <v>2</v>
      </c>
      <c r="K1068" t="s">
        <v>950</v>
      </c>
    </row>
    <row r="1069" spans="1:11" x14ac:dyDescent="0.25">
      <c r="A1069" t="s">
        <v>769</v>
      </c>
      <c r="B1069" t="s">
        <v>934</v>
      </c>
      <c r="C1069" s="3">
        <v>3406</v>
      </c>
      <c r="D1069" s="3">
        <v>-112</v>
      </c>
      <c r="E1069" s="3">
        <v>6655</v>
      </c>
      <c r="F1069">
        <v>2768</v>
      </c>
      <c r="G1069">
        <v>750</v>
      </c>
      <c r="H1069">
        <v>93</v>
      </c>
      <c r="I1069" t="s">
        <v>938</v>
      </c>
      <c r="J1069">
        <v>8</v>
      </c>
      <c r="K1069" t="s">
        <v>944</v>
      </c>
    </row>
    <row r="1070" spans="1:11" x14ac:dyDescent="0.25">
      <c r="A1070" t="s">
        <v>770</v>
      </c>
      <c r="B1070" t="s">
        <v>937</v>
      </c>
      <c r="C1070" s="3">
        <v>4027</v>
      </c>
      <c r="D1070" s="3">
        <v>1109</v>
      </c>
      <c r="E1070" s="3">
        <v>4282</v>
      </c>
      <c r="F1070">
        <v>1066</v>
      </c>
      <c r="G1070">
        <v>1852</v>
      </c>
      <c r="H1070">
        <v>77</v>
      </c>
      <c r="I1070" t="s">
        <v>938</v>
      </c>
      <c r="J1070">
        <v>9</v>
      </c>
      <c r="K1070" t="s">
        <v>953</v>
      </c>
    </row>
    <row r="1071" spans="1:11" x14ac:dyDescent="0.25">
      <c r="A1071" t="s">
        <v>564</v>
      </c>
      <c r="B1071" t="s">
        <v>937</v>
      </c>
      <c r="C1071" s="3">
        <v>8675</v>
      </c>
      <c r="D1071" s="3">
        <v>4216</v>
      </c>
      <c r="E1071" s="3">
        <v>7714</v>
      </c>
      <c r="F1071">
        <v>3094</v>
      </c>
      <c r="G1071">
        <v>1365</v>
      </c>
      <c r="H1071">
        <v>10</v>
      </c>
      <c r="I1071" t="s">
        <v>941</v>
      </c>
      <c r="J1071">
        <v>3</v>
      </c>
      <c r="K1071" t="s">
        <v>950</v>
      </c>
    </row>
    <row r="1072" spans="1:11" x14ac:dyDescent="0.25">
      <c r="A1072" t="s">
        <v>111</v>
      </c>
      <c r="B1072" t="s">
        <v>936</v>
      </c>
      <c r="C1072" s="3">
        <v>6482</v>
      </c>
      <c r="D1072" s="3">
        <v>1027</v>
      </c>
      <c r="E1072" s="3">
        <v>8634</v>
      </c>
      <c r="F1072">
        <v>3787</v>
      </c>
      <c r="G1072">
        <v>1668</v>
      </c>
      <c r="H1072">
        <v>42</v>
      </c>
      <c r="I1072" t="s">
        <v>942</v>
      </c>
      <c r="J1072">
        <v>5</v>
      </c>
      <c r="K1072" t="s">
        <v>952</v>
      </c>
    </row>
    <row r="1073" spans="1:11" x14ac:dyDescent="0.25">
      <c r="A1073" t="s">
        <v>771</v>
      </c>
      <c r="B1073" t="s">
        <v>935</v>
      </c>
      <c r="C1073" s="3">
        <v>7223</v>
      </c>
      <c r="D1073" s="3">
        <v>2443</v>
      </c>
      <c r="E1073" s="3">
        <v>4648</v>
      </c>
      <c r="F1073">
        <v>4213</v>
      </c>
      <c r="G1073">
        <v>567</v>
      </c>
      <c r="H1073">
        <v>110</v>
      </c>
      <c r="I1073" t="s">
        <v>942</v>
      </c>
      <c r="J1073">
        <v>3</v>
      </c>
      <c r="K1073" t="s">
        <v>950</v>
      </c>
    </row>
    <row r="1074" spans="1:11" x14ac:dyDescent="0.25">
      <c r="A1074" t="s">
        <v>565</v>
      </c>
      <c r="B1074" t="s">
        <v>936</v>
      </c>
      <c r="C1074" s="3">
        <v>3400</v>
      </c>
      <c r="D1074" s="3">
        <v>-2540</v>
      </c>
      <c r="E1074" s="3">
        <v>9047</v>
      </c>
      <c r="F1074">
        <v>4024</v>
      </c>
      <c r="G1074">
        <v>1916</v>
      </c>
      <c r="H1074">
        <v>100</v>
      </c>
      <c r="I1074" t="s">
        <v>938</v>
      </c>
      <c r="J1074">
        <v>8</v>
      </c>
      <c r="K1074" t="s">
        <v>953</v>
      </c>
    </row>
    <row r="1075" spans="1:11" x14ac:dyDescent="0.25">
      <c r="A1075" t="s">
        <v>772</v>
      </c>
      <c r="B1075" t="s">
        <v>934</v>
      </c>
      <c r="C1075" s="3">
        <v>5572</v>
      </c>
      <c r="D1075" s="3">
        <v>1844</v>
      </c>
      <c r="E1075" s="3">
        <v>4867</v>
      </c>
      <c r="F1075">
        <v>2671</v>
      </c>
      <c r="G1075">
        <v>1057</v>
      </c>
      <c r="H1075">
        <v>38</v>
      </c>
      <c r="I1075" t="s">
        <v>938</v>
      </c>
      <c r="J1075">
        <v>10</v>
      </c>
      <c r="K1075" t="s">
        <v>948</v>
      </c>
    </row>
    <row r="1076" spans="1:11" x14ac:dyDescent="0.25">
      <c r="A1076" t="s">
        <v>773</v>
      </c>
      <c r="B1076" t="s">
        <v>935</v>
      </c>
      <c r="C1076" s="3">
        <v>2810</v>
      </c>
      <c r="D1076" s="3">
        <v>36</v>
      </c>
      <c r="E1076" s="3">
        <v>5072</v>
      </c>
      <c r="F1076">
        <v>1450</v>
      </c>
      <c r="G1076">
        <v>1324</v>
      </c>
      <c r="H1076">
        <v>93</v>
      </c>
      <c r="I1076" t="s">
        <v>940</v>
      </c>
      <c r="J1076">
        <v>7</v>
      </c>
      <c r="K1076" t="s">
        <v>952</v>
      </c>
    </row>
    <row r="1077" spans="1:11" x14ac:dyDescent="0.25">
      <c r="A1077" t="s">
        <v>382</v>
      </c>
      <c r="B1077" t="s">
        <v>936</v>
      </c>
      <c r="C1077" s="3">
        <v>7415</v>
      </c>
      <c r="D1077" s="3">
        <v>4927</v>
      </c>
      <c r="E1077" s="3">
        <v>6419</v>
      </c>
      <c r="F1077">
        <v>1628</v>
      </c>
      <c r="G1077">
        <v>860</v>
      </c>
      <c r="H1077">
        <v>32</v>
      </c>
      <c r="I1077" t="s">
        <v>940</v>
      </c>
      <c r="J1077">
        <v>5</v>
      </c>
      <c r="K1077" t="s">
        <v>947</v>
      </c>
    </row>
    <row r="1078" spans="1:11" x14ac:dyDescent="0.25">
      <c r="A1078" t="s">
        <v>391</v>
      </c>
      <c r="B1078" t="s">
        <v>935</v>
      </c>
      <c r="C1078" s="3">
        <v>4384</v>
      </c>
      <c r="D1078" s="3">
        <v>1091</v>
      </c>
      <c r="E1078" s="3">
        <v>7295</v>
      </c>
      <c r="F1078">
        <v>2028</v>
      </c>
      <c r="G1078">
        <v>1265</v>
      </c>
      <c r="H1078">
        <v>64</v>
      </c>
      <c r="I1078" t="s">
        <v>942</v>
      </c>
      <c r="J1078">
        <v>9</v>
      </c>
      <c r="K1078" t="s">
        <v>944</v>
      </c>
    </row>
    <row r="1079" spans="1:11" x14ac:dyDescent="0.25">
      <c r="A1079" t="s">
        <v>774</v>
      </c>
      <c r="B1079" t="s">
        <v>936</v>
      </c>
      <c r="C1079" s="3">
        <v>9375</v>
      </c>
      <c r="D1079" s="3">
        <v>4858</v>
      </c>
      <c r="E1079" s="3">
        <v>9649</v>
      </c>
      <c r="F1079">
        <v>3279</v>
      </c>
      <c r="G1079">
        <v>1238</v>
      </c>
      <c r="H1079">
        <v>74</v>
      </c>
      <c r="I1079" t="s">
        <v>941</v>
      </c>
      <c r="J1079">
        <v>9</v>
      </c>
      <c r="K1079" t="s">
        <v>953</v>
      </c>
    </row>
    <row r="1080" spans="1:11" x14ac:dyDescent="0.25">
      <c r="A1080" t="s">
        <v>618</v>
      </c>
      <c r="B1080" t="s">
        <v>934</v>
      </c>
      <c r="C1080" s="3">
        <v>11668</v>
      </c>
      <c r="D1080" s="3">
        <v>8380</v>
      </c>
      <c r="E1080" s="3">
        <v>9353</v>
      </c>
      <c r="F1080">
        <v>2241</v>
      </c>
      <c r="G1080">
        <v>1047</v>
      </c>
      <c r="H1080">
        <v>99</v>
      </c>
      <c r="I1080" t="s">
        <v>941</v>
      </c>
      <c r="J1080">
        <v>10</v>
      </c>
      <c r="K1080" t="s">
        <v>947</v>
      </c>
    </row>
    <row r="1081" spans="1:11" x14ac:dyDescent="0.25">
      <c r="A1081" t="s">
        <v>775</v>
      </c>
      <c r="B1081" t="s">
        <v>937</v>
      </c>
      <c r="C1081" s="3">
        <v>6425</v>
      </c>
      <c r="D1081" s="3">
        <v>797</v>
      </c>
      <c r="E1081" s="3">
        <v>7115</v>
      </c>
      <c r="F1081">
        <v>4498</v>
      </c>
      <c r="G1081">
        <v>1130</v>
      </c>
      <c r="H1081">
        <v>109</v>
      </c>
      <c r="I1081" t="s">
        <v>940</v>
      </c>
      <c r="J1081">
        <v>8</v>
      </c>
      <c r="K1081" t="s">
        <v>948</v>
      </c>
    </row>
    <row r="1082" spans="1:11" x14ac:dyDescent="0.25">
      <c r="A1082" t="s">
        <v>776</v>
      </c>
      <c r="B1082" t="s">
        <v>934</v>
      </c>
      <c r="C1082" s="3">
        <v>6178</v>
      </c>
      <c r="D1082" s="3">
        <v>947</v>
      </c>
      <c r="E1082" s="3">
        <v>5607</v>
      </c>
      <c r="F1082">
        <v>4822</v>
      </c>
      <c r="G1082">
        <v>409</v>
      </c>
      <c r="H1082">
        <v>10</v>
      </c>
      <c r="I1082" t="s">
        <v>939</v>
      </c>
      <c r="J1082">
        <v>10</v>
      </c>
      <c r="K1082" t="s">
        <v>943</v>
      </c>
    </row>
    <row r="1083" spans="1:11" x14ac:dyDescent="0.25">
      <c r="A1083" t="s">
        <v>777</v>
      </c>
      <c r="B1083" t="s">
        <v>936</v>
      </c>
      <c r="C1083" s="3">
        <v>2882</v>
      </c>
      <c r="D1083" s="3">
        <v>-1450</v>
      </c>
      <c r="E1083" s="3">
        <v>8995</v>
      </c>
      <c r="F1083">
        <v>4000</v>
      </c>
      <c r="G1083">
        <v>332</v>
      </c>
      <c r="H1083">
        <v>64</v>
      </c>
      <c r="I1083" t="s">
        <v>940</v>
      </c>
      <c r="J1083">
        <v>4</v>
      </c>
      <c r="K1083" t="s">
        <v>949</v>
      </c>
    </row>
    <row r="1084" spans="1:11" x14ac:dyDescent="0.25">
      <c r="A1084" t="s">
        <v>778</v>
      </c>
      <c r="B1084" t="s">
        <v>937</v>
      </c>
      <c r="C1084" s="3">
        <v>6718</v>
      </c>
      <c r="D1084" s="3">
        <v>2423</v>
      </c>
      <c r="E1084" s="3">
        <v>4408</v>
      </c>
      <c r="F1084">
        <v>4032</v>
      </c>
      <c r="G1084">
        <v>263</v>
      </c>
      <c r="H1084">
        <v>66</v>
      </c>
      <c r="I1084" t="s">
        <v>938</v>
      </c>
      <c r="J1084">
        <v>10</v>
      </c>
      <c r="K1084" t="s">
        <v>944</v>
      </c>
    </row>
    <row r="1085" spans="1:11" x14ac:dyDescent="0.25">
      <c r="A1085" t="s">
        <v>508</v>
      </c>
      <c r="B1085" t="s">
        <v>936</v>
      </c>
      <c r="C1085" s="3">
        <v>8276</v>
      </c>
      <c r="D1085" s="3">
        <v>2697</v>
      </c>
      <c r="E1085" s="3">
        <v>4428</v>
      </c>
      <c r="F1085">
        <v>4530</v>
      </c>
      <c r="G1085">
        <v>1049</v>
      </c>
      <c r="H1085">
        <v>53</v>
      </c>
      <c r="I1085" t="s">
        <v>940</v>
      </c>
      <c r="J1085">
        <v>9</v>
      </c>
      <c r="K1085" t="s">
        <v>944</v>
      </c>
    </row>
    <row r="1086" spans="1:11" x14ac:dyDescent="0.25">
      <c r="A1086" t="s">
        <v>33</v>
      </c>
      <c r="B1086" t="s">
        <v>936</v>
      </c>
      <c r="C1086" s="3">
        <v>9380</v>
      </c>
      <c r="D1086" s="3">
        <v>4287</v>
      </c>
      <c r="E1086" s="3">
        <v>9594</v>
      </c>
      <c r="F1086">
        <v>4480</v>
      </c>
      <c r="G1086">
        <v>613</v>
      </c>
      <c r="H1086">
        <v>69</v>
      </c>
      <c r="I1086" t="s">
        <v>938</v>
      </c>
      <c r="J1086">
        <v>2</v>
      </c>
      <c r="K1086" t="s">
        <v>954</v>
      </c>
    </row>
    <row r="1087" spans="1:11" x14ac:dyDescent="0.25">
      <c r="A1087" t="s">
        <v>565</v>
      </c>
      <c r="B1087" t="s">
        <v>934</v>
      </c>
      <c r="C1087" s="3">
        <v>6721</v>
      </c>
      <c r="D1087" s="3">
        <v>2568</v>
      </c>
      <c r="E1087" s="3">
        <v>5424</v>
      </c>
      <c r="F1087">
        <v>2340</v>
      </c>
      <c r="G1087">
        <v>1813</v>
      </c>
      <c r="H1087">
        <v>26</v>
      </c>
      <c r="I1087" t="s">
        <v>940</v>
      </c>
      <c r="J1087">
        <v>7</v>
      </c>
      <c r="K1087" t="s">
        <v>953</v>
      </c>
    </row>
    <row r="1088" spans="1:11" x14ac:dyDescent="0.25">
      <c r="A1088" t="s">
        <v>777</v>
      </c>
      <c r="B1088" t="s">
        <v>935</v>
      </c>
      <c r="C1088" s="3">
        <v>6075</v>
      </c>
      <c r="D1088" s="3">
        <v>-63</v>
      </c>
      <c r="E1088" s="3">
        <v>6065</v>
      </c>
      <c r="F1088">
        <v>4802</v>
      </c>
      <c r="G1088">
        <v>1336</v>
      </c>
      <c r="H1088">
        <v>38</v>
      </c>
      <c r="I1088" t="s">
        <v>940</v>
      </c>
      <c r="J1088">
        <v>7</v>
      </c>
      <c r="K1088" t="s">
        <v>949</v>
      </c>
    </row>
    <row r="1089" spans="1:11" x14ac:dyDescent="0.25">
      <c r="A1089" t="s">
        <v>779</v>
      </c>
      <c r="B1089" t="s">
        <v>936</v>
      </c>
      <c r="C1089" s="3">
        <v>3668</v>
      </c>
      <c r="D1089" s="3">
        <v>-780</v>
      </c>
      <c r="E1089" s="3">
        <v>4575</v>
      </c>
      <c r="F1089">
        <v>3595</v>
      </c>
      <c r="G1089">
        <v>853</v>
      </c>
      <c r="H1089">
        <v>38</v>
      </c>
      <c r="I1089" t="s">
        <v>940</v>
      </c>
      <c r="J1089">
        <v>6</v>
      </c>
      <c r="K1089" t="s">
        <v>950</v>
      </c>
    </row>
    <row r="1090" spans="1:11" x14ac:dyDescent="0.25">
      <c r="A1090" t="s">
        <v>291</v>
      </c>
      <c r="B1090" t="s">
        <v>936</v>
      </c>
      <c r="C1090" s="3">
        <v>8799</v>
      </c>
      <c r="D1090" s="3">
        <v>4759</v>
      </c>
      <c r="E1090" s="3">
        <v>4351</v>
      </c>
      <c r="F1090">
        <v>2527</v>
      </c>
      <c r="G1090">
        <v>1513</v>
      </c>
      <c r="H1090">
        <v>109</v>
      </c>
      <c r="I1090" t="s">
        <v>940</v>
      </c>
      <c r="J1090">
        <v>9</v>
      </c>
      <c r="K1090" t="s">
        <v>947</v>
      </c>
    </row>
    <row r="1091" spans="1:11" x14ac:dyDescent="0.25">
      <c r="A1091" t="s">
        <v>466</v>
      </c>
      <c r="B1091" t="s">
        <v>935</v>
      </c>
      <c r="C1091" s="3">
        <v>2549</v>
      </c>
      <c r="D1091" s="3">
        <v>-1522</v>
      </c>
      <c r="E1091" s="3">
        <v>5977</v>
      </c>
      <c r="F1091">
        <v>2290</v>
      </c>
      <c r="G1091">
        <v>1781</v>
      </c>
      <c r="H1091">
        <v>10</v>
      </c>
      <c r="I1091" t="s">
        <v>940</v>
      </c>
      <c r="J1091">
        <v>6</v>
      </c>
      <c r="K1091" t="s">
        <v>948</v>
      </c>
    </row>
    <row r="1092" spans="1:11" x14ac:dyDescent="0.25">
      <c r="A1092" t="s">
        <v>251</v>
      </c>
      <c r="B1092" t="s">
        <v>936</v>
      </c>
      <c r="C1092" s="3">
        <v>4798</v>
      </c>
      <c r="D1092" s="3">
        <v>-1379</v>
      </c>
      <c r="E1092" s="3">
        <v>9733</v>
      </c>
      <c r="F1092">
        <v>4207</v>
      </c>
      <c r="G1092">
        <v>1970</v>
      </c>
      <c r="H1092">
        <v>34</v>
      </c>
      <c r="I1092" t="s">
        <v>941</v>
      </c>
      <c r="J1092">
        <v>5</v>
      </c>
      <c r="K1092" t="s">
        <v>944</v>
      </c>
    </row>
    <row r="1093" spans="1:11" x14ac:dyDescent="0.25">
      <c r="A1093" t="s">
        <v>430</v>
      </c>
      <c r="B1093" t="s">
        <v>934</v>
      </c>
      <c r="C1093" s="3">
        <v>4247</v>
      </c>
      <c r="D1093" s="3">
        <v>1759</v>
      </c>
      <c r="E1093" s="3">
        <v>9358</v>
      </c>
      <c r="F1093">
        <v>1457</v>
      </c>
      <c r="G1093">
        <v>1031</v>
      </c>
      <c r="H1093">
        <v>34</v>
      </c>
      <c r="I1093" t="s">
        <v>938</v>
      </c>
      <c r="J1093">
        <v>1</v>
      </c>
      <c r="K1093" t="s">
        <v>948</v>
      </c>
    </row>
    <row r="1094" spans="1:11" x14ac:dyDescent="0.25">
      <c r="A1094" t="s">
        <v>378</v>
      </c>
      <c r="B1094" t="s">
        <v>935</v>
      </c>
      <c r="C1094" s="3">
        <v>7392</v>
      </c>
      <c r="D1094" s="3">
        <v>3923</v>
      </c>
      <c r="E1094" s="3">
        <v>8529</v>
      </c>
      <c r="F1094">
        <v>2940</v>
      </c>
      <c r="G1094">
        <v>529</v>
      </c>
      <c r="H1094">
        <v>97</v>
      </c>
      <c r="I1094" t="s">
        <v>941</v>
      </c>
      <c r="J1094">
        <v>6</v>
      </c>
      <c r="K1094" t="s">
        <v>951</v>
      </c>
    </row>
    <row r="1095" spans="1:11" x14ac:dyDescent="0.25">
      <c r="A1095" t="s">
        <v>172</v>
      </c>
      <c r="B1095" t="s">
        <v>935</v>
      </c>
      <c r="C1095" s="3">
        <v>9909</v>
      </c>
      <c r="D1095" s="3">
        <v>5462</v>
      </c>
      <c r="E1095" s="3">
        <v>6472</v>
      </c>
      <c r="F1095">
        <v>2816</v>
      </c>
      <c r="G1095">
        <v>1631</v>
      </c>
      <c r="H1095">
        <v>118</v>
      </c>
      <c r="I1095" t="s">
        <v>941</v>
      </c>
      <c r="J1095">
        <v>2</v>
      </c>
      <c r="K1095" t="s">
        <v>954</v>
      </c>
    </row>
    <row r="1096" spans="1:11" x14ac:dyDescent="0.25">
      <c r="A1096" t="s">
        <v>780</v>
      </c>
      <c r="B1096" t="s">
        <v>937</v>
      </c>
      <c r="C1096" s="3">
        <v>8866</v>
      </c>
      <c r="D1096" s="3">
        <v>4166</v>
      </c>
      <c r="E1096" s="3">
        <v>5966</v>
      </c>
      <c r="F1096">
        <v>4360</v>
      </c>
      <c r="G1096">
        <v>340</v>
      </c>
      <c r="H1096">
        <v>73</v>
      </c>
      <c r="I1096" t="s">
        <v>942</v>
      </c>
      <c r="J1096">
        <v>3</v>
      </c>
      <c r="K1096" t="s">
        <v>945</v>
      </c>
    </row>
    <row r="1097" spans="1:11" x14ac:dyDescent="0.25">
      <c r="A1097" t="s">
        <v>534</v>
      </c>
      <c r="B1097" t="s">
        <v>937</v>
      </c>
      <c r="C1097" s="3">
        <v>7381</v>
      </c>
      <c r="D1097" s="3">
        <v>2000</v>
      </c>
      <c r="E1097" s="3">
        <v>8607</v>
      </c>
      <c r="F1097">
        <v>3453</v>
      </c>
      <c r="G1097">
        <v>1928</v>
      </c>
      <c r="H1097">
        <v>66</v>
      </c>
      <c r="I1097" t="s">
        <v>941</v>
      </c>
      <c r="J1097">
        <v>7</v>
      </c>
      <c r="K1097" t="s">
        <v>943</v>
      </c>
    </row>
    <row r="1098" spans="1:11" x14ac:dyDescent="0.25">
      <c r="A1098" t="s">
        <v>202</v>
      </c>
      <c r="B1098" t="s">
        <v>935</v>
      </c>
      <c r="C1098" s="3">
        <v>5613</v>
      </c>
      <c r="D1098" s="3">
        <v>938</v>
      </c>
      <c r="E1098" s="3">
        <v>8693</v>
      </c>
      <c r="F1098">
        <v>3739</v>
      </c>
      <c r="G1098">
        <v>936</v>
      </c>
      <c r="H1098">
        <v>18</v>
      </c>
      <c r="I1098" t="s">
        <v>939</v>
      </c>
      <c r="J1098">
        <v>5</v>
      </c>
      <c r="K1098" t="s">
        <v>946</v>
      </c>
    </row>
    <row r="1099" spans="1:11" x14ac:dyDescent="0.25">
      <c r="A1099" t="s">
        <v>752</v>
      </c>
      <c r="B1099" t="s">
        <v>934</v>
      </c>
      <c r="C1099" s="3">
        <v>6935</v>
      </c>
      <c r="D1099" s="3">
        <v>2683</v>
      </c>
      <c r="E1099" s="3">
        <v>5670</v>
      </c>
      <c r="F1099">
        <v>2626</v>
      </c>
      <c r="G1099">
        <v>1626</v>
      </c>
      <c r="H1099">
        <v>18</v>
      </c>
      <c r="I1099" t="s">
        <v>942</v>
      </c>
      <c r="J1099">
        <v>3</v>
      </c>
      <c r="K1099" t="s">
        <v>943</v>
      </c>
    </row>
    <row r="1100" spans="1:11" x14ac:dyDescent="0.25">
      <c r="A1100" t="s">
        <v>781</v>
      </c>
      <c r="B1100" t="s">
        <v>935</v>
      </c>
      <c r="C1100" s="3">
        <v>11795</v>
      </c>
      <c r="D1100" s="3">
        <v>8586</v>
      </c>
      <c r="E1100" s="3">
        <v>7016</v>
      </c>
      <c r="F1100">
        <v>2637</v>
      </c>
      <c r="G1100">
        <v>572</v>
      </c>
      <c r="H1100">
        <v>116</v>
      </c>
      <c r="I1100" t="s">
        <v>941</v>
      </c>
      <c r="J1100">
        <v>10</v>
      </c>
      <c r="K1100" t="s">
        <v>953</v>
      </c>
    </row>
    <row r="1101" spans="1:11" x14ac:dyDescent="0.25">
      <c r="A1101" t="s">
        <v>782</v>
      </c>
      <c r="B1101" t="s">
        <v>937</v>
      </c>
      <c r="C1101" s="3">
        <v>5960</v>
      </c>
      <c r="D1101" s="3">
        <v>1488</v>
      </c>
      <c r="E1101" s="3">
        <v>5070</v>
      </c>
      <c r="F1101">
        <v>3996</v>
      </c>
      <c r="G1101">
        <v>476</v>
      </c>
      <c r="H1101">
        <v>49</v>
      </c>
      <c r="I1101" t="s">
        <v>938</v>
      </c>
      <c r="J1101">
        <v>7</v>
      </c>
      <c r="K1101" t="s">
        <v>944</v>
      </c>
    </row>
    <row r="1102" spans="1:11" x14ac:dyDescent="0.25">
      <c r="A1102" t="s">
        <v>582</v>
      </c>
      <c r="B1102" t="s">
        <v>935</v>
      </c>
      <c r="C1102" s="3">
        <v>7897</v>
      </c>
      <c r="D1102" s="3">
        <v>3119</v>
      </c>
      <c r="E1102" s="3">
        <v>4252</v>
      </c>
      <c r="F1102">
        <v>4503</v>
      </c>
      <c r="G1102">
        <v>275</v>
      </c>
      <c r="H1102">
        <v>107</v>
      </c>
      <c r="I1102" t="s">
        <v>938</v>
      </c>
      <c r="J1102">
        <v>8</v>
      </c>
      <c r="K1102" t="s">
        <v>946</v>
      </c>
    </row>
    <row r="1103" spans="1:11" x14ac:dyDescent="0.25">
      <c r="A1103" t="s">
        <v>426</v>
      </c>
      <c r="B1103" t="s">
        <v>935</v>
      </c>
      <c r="C1103" s="3">
        <v>11207</v>
      </c>
      <c r="D1103" s="3">
        <v>8458</v>
      </c>
      <c r="E1103" s="3">
        <v>5227</v>
      </c>
      <c r="F1103">
        <v>1400</v>
      </c>
      <c r="G1103">
        <v>1349</v>
      </c>
      <c r="H1103">
        <v>21</v>
      </c>
      <c r="I1103" t="s">
        <v>940</v>
      </c>
      <c r="J1103">
        <v>9</v>
      </c>
      <c r="K1103" t="s">
        <v>949</v>
      </c>
    </row>
    <row r="1104" spans="1:11" x14ac:dyDescent="0.25">
      <c r="A1104" t="s">
        <v>783</v>
      </c>
      <c r="B1104" t="s">
        <v>937</v>
      </c>
      <c r="C1104" s="3">
        <v>10870</v>
      </c>
      <c r="D1104" s="3">
        <v>6136</v>
      </c>
      <c r="E1104" s="3">
        <v>8066</v>
      </c>
      <c r="F1104">
        <v>2756</v>
      </c>
      <c r="G1104">
        <v>1978</v>
      </c>
      <c r="H1104">
        <v>71</v>
      </c>
      <c r="I1104" t="s">
        <v>939</v>
      </c>
      <c r="J1104">
        <v>10</v>
      </c>
      <c r="K1104" t="s">
        <v>954</v>
      </c>
    </row>
    <row r="1105" spans="1:11" x14ac:dyDescent="0.25">
      <c r="A1105" t="s">
        <v>289</v>
      </c>
      <c r="B1105" t="s">
        <v>937</v>
      </c>
      <c r="C1105" s="3">
        <v>4655</v>
      </c>
      <c r="D1105" s="3">
        <v>-770</v>
      </c>
      <c r="E1105" s="3">
        <v>8330</v>
      </c>
      <c r="F1105">
        <v>3959</v>
      </c>
      <c r="G1105">
        <v>1466</v>
      </c>
      <c r="H1105">
        <v>26</v>
      </c>
      <c r="I1105" t="s">
        <v>938</v>
      </c>
      <c r="J1105">
        <v>5</v>
      </c>
      <c r="K1105" t="s">
        <v>954</v>
      </c>
    </row>
    <row r="1106" spans="1:11" x14ac:dyDescent="0.25">
      <c r="A1106" t="s">
        <v>776</v>
      </c>
      <c r="B1106" t="s">
        <v>937</v>
      </c>
      <c r="C1106" s="3">
        <v>2308</v>
      </c>
      <c r="D1106" s="3">
        <v>-1218</v>
      </c>
      <c r="E1106" s="3">
        <v>5421</v>
      </c>
      <c r="F1106">
        <v>2066</v>
      </c>
      <c r="G1106">
        <v>1460</v>
      </c>
      <c r="H1106">
        <v>44</v>
      </c>
      <c r="I1106" t="s">
        <v>940</v>
      </c>
      <c r="J1106">
        <v>3</v>
      </c>
      <c r="K1106" t="s">
        <v>943</v>
      </c>
    </row>
    <row r="1107" spans="1:11" x14ac:dyDescent="0.25">
      <c r="A1107" t="s">
        <v>500</v>
      </c>
      <c r="B1107" t="s">
        <v>934</v>
      </c>
      <c r="C1107" s="3">
        <v>5735</v>
      </c>
      <c r="D1107" s="3">
        <v>3231</v>
      </c>
      <c r="E1107" s="3">
        <v>4213</v>
      </c>
      <c r="F1107">
        <v>2017</v>
      </c>
      <c r="G1107">
        <v>487</v>
      </c>
      <c r="H1107">
        <v>47</v>
      </c>
      <c r="I1107" t="s">
        <v>941</v>
      </c>
      <c r="J1107">
        <v>3</v>
      </c>
      <c r="K1107" t="s">
        <v>948</v>
      </c>
    </row>
    <row r="1108" spans="1:11" x14ac:dyDescent="0.25">
      <c r="A1108" t="s">
        <v>414</v>
      </c>
      <c r="B1108" t="s">
        <v>935</v>
      </c>
      <c r="C1108" s="3">
        <v>5861</v>
      </c>
      <c r="D1108" s="3">
        <v>1211</v>
      </c>
      <c r="E1108" s="3">
        <v>7282</v>
      </c>
      <c r="F1108">
        <v>3986</v>
      </c>
      <c r="G1108">
        <v>664</v>
      </c>
      <c r="H1108">
        <v>100</v>
      </c>
      <c r="I1108" t="s">
        <v>940</v>
      </c>
      <c r="J1108">
        <v>5</v>
      </c>
      <c r="K1108" t="s">
        <v>952</v>
      </c>
    </row>
    <row r="1109" spans="1:11" x14ac:dyDescent="0.25">
      <c r="A1109" t="s">
        <v>578</v>
      </c>
      <c r="B1109" t="s">
        <v>934</v>
      </c>
      <c r="C1109" s="3">
        <v>2331</v>
      </c>
      <c r="D1109" s="3">
        <v>187</v>
      </c>
      <c r="E1109" s="3">
        <v>5101</v>
      </c>
      <c r="F1109">
        <v>1374</v>
      </c>
      <c r="G1109">
        <v>770</v>
      </c>
      <c r="H1109">
        <v>70</v>
      </c>
      <c r="I1109" t="s">
        <v>940</v>
      </c>
      <c r="J1109">
        <v>3</v>
      </c>
      <c r="K1109" t="s">
        <v>952</v>
      </c>
    </row>
    <row r="1110" spans="1:11" x14ac:dyDescent="0.25">
      <c r="A1110" t="s">
        <v>784</v>
      </c>
      <c r="B1110" t="s">
        <v>934</v>
      </c>
      <c r="C1110" s="3">
        <v>6610</v>
      </c>
      <c r="D1110" s="3">
        <v>3173</v>
      </c>
      <c r="E1110" s="3">
        <v>9617</v>
      </c>
      <c r="F1110">
        <v>1685</v>
      </c>
      <c r="G1110">
        <v>1752</v>
      </c>
      <c r="H1110">
        <v>84</v>
      </c>
      <c r="I1110" t="s">
        <v>942</v>
      </c>
      <c r="J1110">
        <v>3</v>
      </c>
      <c r="K1110" t="s">
        <v>952</v>
      </c>
    </row>
    <row r="1111" spans="1:11" x14ac:dyDescent="0.25">
      <c r="A1111" t="s">
        <v>785</v>
      </c>
      <c r="B1111" t="s">
        <v>937</v>
      </c>
      <c r="C1111" s="3">
        <v>8371</v>
      </c>
      <c r="D1111" s="3">
        <v>4548</v>
      </c>
      <c r="E1111" s="3">
        <v>5786</v>
      </c>
      <c r="F1111">
        <v>3198</v>
      </c>
      <c r="G1111">
        <v>625</v>
      </c>
      <c r="H1111">
        <v>118</v>
      </c>
      <c r="I1111" t="s">
        <v>941</v>
      </c>
      <c r="J1111">
        <v>10</v>
      </c>
      <c r="K1111" t="s">
        <v>946</v>
      </c>
    </row>
    <row r="1112" spans="1:11" x14ac:dyDescent="0.25">
      <c r="A1112" t="s">
        <v>786</v>
      </c>
      <c r="B1112" t="s">
        <v>935</v>
      </c>
      <c r="C1112" s="3">
        <v>5557</v>
      </c>
      <c r="D1112" s="3">
        <v>1329</v>
      </c>
      <c r="E1112" s="3">
        <v>6888</v>
      </c>
      <c r="F1112">
        <v>3788</v>
      </c>
      <c r="G1112">
        <v>440</v>
      </c>
      <c r="H1112">
        <v>19</v>
      </c>
      <c r="I1112" t="s">
        <v>940</v>
      </c>
      <c r="J1112">
        <v>10</v>
      </c>
      <c r="K1112" t="s">
        <v>943</v>
      </c>
    </row>
    <row r="1113" spans="1:11" x14ac:dyDescent="0.25">
      <c r="A1113" t="s">
        <v>787</v>
      </c>
      <c r="B1113" t="s">
        <v>936</v>
      </c>
      <c r="C1113" s="3">
        <v>8597</v>
      </c>
      <c r="D1113" s="3">
        <v>1899</v>
      </c>
      <c r="E1113" s="3">
        <v>6880</v>
      </c>
      <c r="F1113">
        <v>4767</v>
      </c>
      <c r="G1113">
        <v>1931</v>
      </c>
      <c r="H1113">
        <v>87</v>
      </c>
      <c r="I1113" t="s">
        <v>939</v>
      </c>
      <c r="J1113">
        <v>3</v>
      </c>
      <c r="K1113" t="s">
        <v>949</v>
      </c>
    </row>
    <row r="1114" spans="1:11" x14ac:dyDescent="0.25">
      <c r="A1114" t="s">
        <v>69</v>
      </c>
      <c r="B1114" t="s">
        <v>935</v>
      </c>
      <c r="C1114" s="3">
        <v>5610</v>
      </c>
      <c r="D1114" s="3">
        <v>3369</v>
      </c>
      <c r="E1114" s="3">
        <v>6219</v>
      </c>
      <c r="F1114">
        <v>1867</v>
      </c>
      <c r="G1114">
        <v>374</v>
      </c>
      <c r="H1114">
        <v>86</v>
      </c>
      <c r="I1114" t="s">
        <v>940</v>
      </c>
      <c r="J1114">
        <v>1</v>
      </c>
      <c r="K1114" t="s">
        <v>947</v>
      </c>
    </row>
    <row r="1115" spans="1:11" x14ac:dyDescent="0.25">
      <c r="A1115" t="s">
        <v>788</v>
      </c>
      <c r="B1115" t="s">
        <v>934</v>
      </c>
      <c r="C1115" s="3">
        <v>4980</v>
      </c>
      <c r="D1115" s="3">
        <v>2044</v>
      </c>
      <c r="E1115" s="3">
        <v>8758</v>
      </c>
      <c r="F1115">
        <v>1830</v>
      </c>
      <c r="G1115">
        <v>1106</v>
      </c>
      <c r="H1115">
        <v>72</v>
      </c>
      <c r="I1115" t="s">
        <v>941</v>
      </c>
      <c r="J1115">
        <v>9</v>
      </c>
      <c r="K1115" t="s">
        <v>952</v>
      </c>
    </row>
    <row r="1116" spans="1:11" x14ac:dyDescent="0.25">
      <c r="A1116" t="s">
        <v>789</v>
      </c>
      <c r="B1116" t="s">
        <v>937</v>
      </c>
      <c r="C1116" s="3">
        <v>4618</v>
      </c>
      <c r="D1116" s="3">
        <v>367</v>
      </c>
      <c r="E1116" s="3">
        <v>7048</v>
      </c>
      <c r="F1116">
        <v>3789</v>
      </c>
      <c r="G1116">
        <v>462</v>
      </c>
      <c r="H1116">
        <v>69</v>
      </c>
      <c r="I1116" t="s">
        <v>938</v>
      </c>
      <c r="J1116">
        <v>8</v>
      </c>
      <c r="K1116" t="s">
        <v>944</v>
      </c>
    </row>
    <row r="1117" spans="1:11" x14ac:dyDescent="0.25">
      <c r="A1117" t="s">
        <v>731</v>
      </c>
      <c r="B1117" t="s">
        <v>936</v>
      </c>
      <c r="C1117" s="3">
        <v>6425</v>
      </c>
      <c r="D1117" s="3">
        <v>5232</v>
      </c>
      <c r="E1117" s="3">
        <v>9950</v>
      </c>
      <c r="F1117">
        <v>861</v>
      </c>
      <c r="G1117">
        <v>332</v>
      </c>
      <c r="H1117">
        <v>33</v>
      </c>
      <c r="I1117" t="s">
        <v>939</v>
      </c>
      <c r="J1117">
        <v>4</v>
      </c>
      <c r="K1117" t="s">
        <v>954</v>
      </c>
    </row>
    <row r="1118" spans="1:11" x14ac:dyDescent="0.25">
      <c r="A1118" t="s">
        <v>784</v>
      </c>
      <c r="B1118" t="s">
        <v>936</v>
      </c>
      <c r="C1118" s="3">
        <v>5909</v>
      </c>
      <c r="D1118" s="3">
        <v>478</v>
      </c>
      <c r="E1118" s="3">
        <v>4070</v>
      </c>
      <c r="F1118">
        <v>4448</v>
      </c>
      <c r="G1118">
        <v>983</v>
      </c>
      <c r="H1118">
        <v>64</v>
      </c>
      <c r="I1118" t="s">
        <v>940</v>
      </c>
      <c r="J1118">
        <v>6</v>
      </c>
      <c r="K1118" t="s">
        <v>952</v>
      </c>
    </row>
    <row r="1119" spans="1:11" x14ac:dyDescent="0.25">
      <c r="A1119" t="s">
        <v>790</v>
      </c>
      <c r="B1119" t="s">
        <v>934</v>
      </c>
      <c r="C1119" s="3">
        <v>5511</v>
      </c>
      <c r="D1119" s="3">
        <v>2896</v>
      </c>
      <c r="E1119" s="3">
        <v>4534</v>
      </c>
      <c r="F1119">
        <v>1506</v>
      </c>
      <c r="G1119">
        <v>1109</v>
      </c>
      <c r="H1119">
        <v>62</v>
      </c>
      <c r="I1119" t="s">
        <v>939</v>
      </c>
      <c r="J1119">
        <v>2</v>
      </c>
      <c r="K1119" t="s">
        <v>946</v>
      </c>
    </row>
    <row r="1120" spans="1:11" x14ac:dyDescent="0.25">
      <c r="A1120" t="s">
        <v>127</v>
      </c>
      <c r="B1120" t="s">
        <v>934</v>
      </c>
      <c r="C1120" s="3">
        <v>8560</v>
      </c>
      <c r="D1120" s="3">
        <v>3968</v>
      </c>
      <c r="E1120" s="3">
        <v>6924</v>
      </c>
      <c r="F1120">
        <v>4099</v>
      </c>
      <c r="G1120">
        <v>493</v>
      </c>
      <c r="H1120">
        <v>14</v>
      </c>
      <c r="I1120" t="s">
        <v>942</v>
      </c>
      <c r="J1120">
        <v>9</v>
      </c>
      <c r="K1120" t="s">
        <v>944</v>
      </c>
    </row>
    <row r="1121" spans="1:11" x14ac:dyDescent="0.25">
      <c r="A1121" t="s">
        <v>791</v>
      </c>
      <c r="B1121" t="s">
        <v>934</v>
      </c>
      <c r="C1121" s="3">
        <v>3056</v>
      </c>
      <c r="D1121" s="3">
        <v>-309</v>
      </c>
      <c r="E1121" s="3">
        <v>8107</v>
      </c>
      <c r="F1121">
        <v>2363</v>
      </c>
      <c r="G1121">
        <v>1002</v>
      </c>
      <c r="H1121">
        <v>12</v>
      </c>
      <c r="I1121" t="s">
        <v>942</v>
      </c>
      <c r="J1121">
        <v>8</v>
      </c>
      <c r="K1121" t="s">
        <v>953</v>
      </c>
    </row>
    <row r="1122" spans="1:11" x14ac:dyDescent="0.25">
      <c r="A1122" t="s">
        <v>792</v>
      </c>
      <c r="B1122" t="s">
        <v>934</v>
      </c>
      <c r="C1122" s="3">
        <v>9934</v>
      </c>
      <c r="D1122" s="3">
        <v>6635</v>
      </c>
      <c r="E1122" s="3">
        <v>9483</v>
      </c>
      <c r="F1122">
        <v>3074</v>
      </c>
      <c r="G1122">
        <v>225</v>
      </c>
      <c r="H1122">
        <v>93</v>
      </c>
      <c r="I1122" t="s">
        <v>940</v>
      </c>
      <c r="J1122">
        <v>4</v>
      </c>
      <c r="K1122" t="s">
        <v>950</v>
      </c>
    </row>
    <row r="1123" spans="1:11" x14ac:dyDescent="0.25">
      <c r="A1123" t="s">
        <v>793</v>
      </c>
      <c r="B1123" t="s">
        <v>937</v>
      </c>
      <c r="C1123" s="3">
        <v>6910</v>
      </c>
      <c r="D1123" s="3">
        <v>4434</v>
      </c>
      <c r="E1123" s="3">
        <v>9401</v>
      </c>
      <c r="F1123">
        <v>1742</v>
      </c>
      <c r="G1123">
        <v>734</v>
      </c>
      <c r="H1123">
        <v>63</v>
      </c>
      <c r="I1123" t="s">
        <v>942</v>
      </c>
      <c r="J1123">
        <v>9</v>
      </c>
      <c r="K1123" t="s">
        <v>952</v>
      </c>
    </row>
    <row r="1124" spans="1:11" x14ac:dyDescent="0.25">
      <c r="A1124" t="s">
        <v>661</v>
      </c>
      <c r="B1124" t="s">
        <v>936</v>
      </c>
      <c r="C1124" s="3">
        <v>2230</v>
      </c>
      <c r="D1124" s="3">
        <v>-2671</v>
      </c>
      <c r="E1124" s="3">
        <v>9221</v>
      </c>
      <c r="F1124">
        <v>4364</v>
      </c>
      <c r="G1124">
        <v>537</v>
      </c>
      <c r="H1124">
        <v>50</v>
      </c>
      <c r="I1124" t="s">
        <v>939</v>
      </c>
      <c r="J1124">
        <v>8</v>
      </c>
      <c r="K1124" t="s">
        <v>945</v>
      </c>
    </row>
    <row r="1125" spans="1:11" x14ac:dyDescent="0.25">
      <c r="A1125" t="s">
        <v>794</v>
      </c>
      <c r="B1125" t="s">
        <v>934</v>
      </c>
      <c r="C1125" s="3">
        <v>5259</v>
      </c>
      <c r="D1125" s="3">
        <v>1591</v>
      </c>
      <c r="E1125" s="3">
        <v>8230</v>
      </c>
      <c r="F1125">
        <v>2811</v>
      </c>
      <c r="G1125">
        <v>857</v>
      </c>
      <c r="H1125">
        <v>45</v>
      </c>
      <c r="I1125" t="s">
        <v>940</v>
      </c>
      <c r="J1125">
        <v>10</v>
      </c>
      <c r="K1125" t="s">
        <v>947</v>
      </c>
    </row>
    <row r="1126" spans="1:11" x14ac:dyDescent="0.25">
      <c r="A1126" t="s">
        <v>795</v>
      </c>
      <c r="B1126" t="s">
        <v>937</v>
      </c>
      <c r="C1126" s="3">
        <v>6570</v>
      </c>
      <c r="D1126" s="3">
        <v>3887</v>
      </c>
      <c r="E1126" s="3">
        <v>5958</v>
      </c>
      <c r="F1126">
        <v>948</v>
      </c>
      <c r="G1126">
        <v>1735</v>
      </c>
      <c r="H1126">
        <v>21</v>
      </c>
      <c r="I1126" t="s">
        <v>942</v>
      </c>
      <c r="J1126">
        <v>7</v>
      </c>
      <c r="K1126" t="s">
        <v>943</v>
      </c>
    </row>
    <row r="1127" spans="1:11" x14ac:dyDescent="0.25">
      <c r="A1127" t="s">
        <v>328</v>
      </c>
      <c r="B1127" t="s">
        <v>935</v>
      </c>
      <c r="C1127" s="3">
        <v>11834</v>
      </c>
      <c r="D1127" s="3">
        <v>9785</v>
      </c>
      <c r="E1127" s="3">
        <v>5546</v>
      </c>
      <c r="F1127">
        <v>1043</v>
      </c>
      <c r="G1127">
        <v>1006</v>
      </c>
      <c r="H1127">
        <v>72</v>
      </c>
      <c r="I1127" t="s">
        <v>940</v>
      </c>
      <c r="J1127">
        <v>3</v>
      </c>
      <c r="K1127" t="s">
        <v>953</v>
      </c>
    </row>
    <row r="1128" spans="1:11" x14ac:dyDescent="0.25">
      <c r="A1128" t="s">
        <v>796</v>
      </c>
      <c r="B1128" t="s">
        <v>935</v>
      </c>
      <c r="C1128" s="3">
        <v>11547</v>
      </c>
      <c r="D1128" s="3">
        <v>8272</v>
      </c>
      <c r="E1128" s="3">
        <v>6994</v>
      </c>
      <c r="F1128">
        <v>1613</v>
      </c>
      <c r="G1128">
        <v>1662</v>
      </c>
      <c r="H1128">
        <v>81</v>
      </c>
      <c r="I1128" t="s">
        <v>940</v>
      </c>
      <c r="J1128">
        <v>2</v>
      </c>
      <c r="K1128" t="s">
        <v>954</v>
      </c>
    </row>
    <row r="1129" spans="1:11" x14ac:dyDescent="0.25">
      <c r="A1129" t="s">
        <v>797</v>
      </c>
      <c r="B1129" t="s">
        <v>937</v>
      </c>
      <c r="C1129" s="3">
        <v>5981</v>
      </c>
      <c r="D1129" s="3">
        <v>1135</v>
      </c>
      <c r="E1129" s="3">
        <v>7011</v>
      </c>
      <c r="F1129">
        <v>4545</v>
      </c>
      <c r="G1129">
        <v>301</v>
      </c>
      <c r="H1129">
        <v>26</v>
      </c>
      <c r="I1129" t="s">
        <v>938</v>
      </c>
      <c r="J1129">
        <v>4</v>
      </c>
      <c r="K1129" t="s">
        <v>945</v>
      </c>
    </row>
    <row r="1130" spans="1:11" x14ac:dyDescent="0.25">
      <c r="A1130" t="s">
        <v>798</v>
      </c>
      <c r="B1130" t="s">
        <v>934</v>
      </c>
      <c r="C1130" s="3">
        <v>7466</v>
      </c>
      <c r="D1130" s="3">
        <v>3507</v>
      </c>
      <c r="E1130" s="3">
        <v>6881</v>
      </c>
      <c r="F1130">
        <v>2760</v>
      </c>
      <c r="G1130">
        <v>1199</v>
      </c>
      <c r="H1130">
        <v>75</v>
      </c>
      <c r="I1130" t="s">
        <v>940</v>
      </c>
      <c r="J1130">
        <v>6</v>
      </c>
      <c r="K1130" t="s">
        <v>945</v>
      </c>
    </row>
    <row r="1131" spans="1:11" x14ac:dyDescent="0.25">
      <c r="A1131" t="s">
        <v>443</v>
      </c>
      <c r="B1131" t="s">
        <v>935</v>
      </c>
      <c r="C1131" s="3">
        <v>5910</v>
      </c>
      <c r="D1131" s="3">
        <v>-102</v>
      </c>
      <c r="E1131" s="3">
        <v>5159</v>
      </c>
      <c r="F1131">
        <v>4525</v>
      </c>
      <c r="G1131">
        <v>1487</v>
      </c>
      <c r="H1131">
        <v>51</v>
      </c>
      <c r="I1131" t="s">
        <v>942</v>
      </c>
      <c r="J1131">
        <v>10</v>
      </c>
      <c r="K1131" t="s">
        <v>951</v>
      </c>
    </row>
    <row r="1132" spans="1:11" x14ac:dyDescent="0.25">
      <c r="A1132" t="s">
        <v>799</v>
      </c>
      <c r="B1132" t="s">
        <v>936</v>
      </c>
      <c r="C1132" s="3">
        <v>10203</v>
      </c>
      <c r="D1132" s="3">
        <v>4727</v>
      </c>
      <c r="E1132" s="3">
        <v>9947</v>
      </c>
      <c r="F1132">
        <v>3640</v>
      </c>
      <c r="G1132">
        <v>1836</v>
      </c>
      <c r="H1132">
        <v>25</v>
      </c>
      <c r="I1132" t="s">
        <v>941</v>
      </c>
      <c r="J1132">
        <v>4</v>
      </c>
      <c r="K1132" t="s">
        <v>953</v>
      </c>
    </row>
    <row r="1133" spans="1:11" x14ac:dyDescent="0.25">
      <c r="A1133" t="s">
        <v>226</v>
      </c>
      <c r="B1133" t="s">
        <v>937</v>
      </c>
      <c r="C1133" s="3">
        <v>5529</v>
      </c>
      <c r="D1133" s="3">
        <v>482</v>
      </c>
      <c r="E1133" s="3">
        <v>4138</v>
      </c>
      <c r="F1133">
        <v>4456</v>
      </c>
      <c r="G1133">
        <v>591</v>
      </c>
      <c r="H1133">
        <v>18</v>
      </c>
      <c r="I1133" t="s">
        <v>938</v>
      </c>
      <c r="J1133">
        <v>9</v>
      </c>
      <c r="K1133" t="s">
        <v>954</v>
      </c>
    </row>
    <row r="1134" spans="1:11" x14ac:dyDescent="0.25">
      <c r="A1134" t="s">
        <v>632</v>
      </c>
      <c r="B1134" t="s">
        <v>937</v>
      </c>
      <c r="C1134" s="3">
        <v>8203</v>
      </c>
      <c r="D1134" s="3">
        <v>4818</v>
      </c>
      <c r="E1134" s="3">
        <v>7219</v>
      </c>
      <c r="F1134">
        <v>2420</v>
      </c>
      <c r="G1134">
        <v>965</v>
      </c>
      <c r="H1134">
        <v>23</v>
      </c>
      <c r="I1134" t="s">
        <v>941</v>
      </c>
      <c r="J1134">
        <v>10</v>
      </c>
      <c r="K1134" t="s">
        <v>945</v>
      </c>
    </row>
    <row r="1135" spans="1:11" x14ac:dyDescent="0.25">
      <c r="A1135" t="s">
        <v>198</v>
      </c>
      <c r="B1135" t="s">
        <v>935</v>
      </c>
      <c r="C1135" s="3">
        <v>8455</v>
      </c>
      <c r="D1135" s="3">
        <v>5800</v>
      </c>
      <c r="E1135" s="3">
        <v>6667</v>
      </c>
      <c r="F1135">
        <v>1406</v>
      </c>
      <c r="G1135">
        <v>1249</v>
      </c>
      <c r="H1135">
        <v>67</v>
      </c>
      <c r="I1135" t="s">
        <v>940</v>
      </c>
      <c r="J1135">
        <v>1</v>
      </c>
      <c r="K1135" t="s">
        <v>943</v>
      </c>
    </row>
    <row r="1136" spans="1:11" x14ac:dyDescent="0.25">
      <c r="A1136" t="s">
        <v>446</v>
      </c>
      <c r="B1136" t="s">
        <v>937</v>
      </c>
      <c r="C1136" s="3">
        <v>9951</v>
      </c>
      <c r="D1136" s="3">
        <v>6115</v>
      </c>
      <c r="E1136" s="3">
        <v>5074</v>
      </c>
      <c r="F1136">
        <v>3393</v>
      </c>
      <c r="G1136">
        <v>443</v>
      </c>
      <c r="H1136">
        <v>54</v>
      </c>
      <c r="I1136" t="s">
        <v>942</v>
      </c>
      <c r="J1136">
        <v>5</v>
      </c>
      <c r="K1136" t="s">
        <v>949</v>
      </c>
    </row>
    <row r="1137" spans="1:11" x14ac:dyDescent="0.25">
      <c r="A1137" t="s">
        <v>800</v>
      </c>
      <c r="B1137" t="s">
        <v>934</v>
      </c>
      <c r="C1137" s="3">
        <v>9684</v>
      </c>
      <c r="D1137" s="3">
        <v>4426</v>
      </c>
      <c r="E1137" s="3">
        <v>8656</v>
      </c>
      <c r="F1137">
        <v>4499</v>
      </c>
      <c r="G1137">
        <v>759</v>
      </c>
      <c r="H1137">
        <v>115</v>
      </c>
      <c r="I1137" t="s">
        <v>942</v>
      </c>
      <c r="J1137">
        <v>1</v>
      </c>
      <c r="K1137" t="s">
        <v>946</v>
      </c>
    </row>
    <row r="1138" spans="1:11" x14ac:dyDescent="0.25">
      <c r="A1138" t="s">
        <v>490</v>
      </c>
      <c r="B1138" t="s">
        <v>937</v>
      </c>
      <c r="C1138" s="3">
        <v>8887</v>
      </c>
      <c r="D1138" s="3">
        <v>5759</v>
      </c>
      <c r="E1138" s="3">
        <v>9656</v>
      </c>
      <c r="F1138">
        <v>2561</v>
      </c>
      <c r="G1138">
        <v>567</v>
      </c>
      <c r="H1138">
        <v>15</v>
      </c>
      <c r="I1138" t="s">
        <v>939</v>
      </c>
      <c r="J1138">
        <v>1</v>
      </c>
      <c r="K1138" t="s">
        <v>950</v>
      </c>
    </row>
    <row r="1139" spans="1:11" x14ac:dyDescent="0.25">
      <c r="A1139" t="s">
        <v>126</v>
      </c>
      <c r="B1139" t="s">
        <v>937</v>
      </c>
      <c r="C1139" s="3">
        <v>2767</v>
      </c>
      <c r="D1139" s="3">
        <v>-1533</v>
      </c>
      <c r="E1139" s="3">
        <v>6269</v>
      </c>
      <c r="F1139">
        <v>3780</v>
      </c>
      <c r="G1139">
        <v>520</v>
      </c>
      <c r="H1139">
        <v>42</v>
      </c>
      <c r="I1139" t="s">
        <v>940</v>
      </c>
      <c r="J1139">
        <v>6</v>
      </c>
      <c r="K1139" t="s">
        <v>947</v>
      </c>
    </row>
    <row r="1140" spans="1:11" x14ac:dyDescent="0.25">
      <c r="A1140" t="s">
        <v>756</v>
      </c>
      <c r="B1140" t="s">
        <v>936</v>
      </c>
      <c r="C1140" s="3">
        <v>7813</v>
      </c>
      <c r="D1140" s="3">
        <v>5302</v>
      </c>
      <c r="E1140" s="3">
        <v>9471</v>
      </c>
      <c r="F1140">
        <v>1249</v>
      </c>
      <c r="G1140">
        <v>1262</v>
      </c>
      <c r="H1140">
        <v>91</v>
      </c>
      <c r="I1140" t="s">
        <v>940</v>
      </c>
      <c r="J1140">
        <v>8</v>
      </c>
      <c r="K1140" t="s">
        <v>946</v>
      </c>
    </row>
    <row r="1141" spans="1:11" x14ac:dyDescent="0.25">
      <c r="A1141" t="s">
        <v>127</v>
      </c>
      <c r="B1141" t="s">
        <v>934</v>
      </c>
      <c r="C1141" s="3">
        <v>2861</v>
      </c>
      <c r="D1141" s="3">
        <v>-746</v>
      </c>
      <c r="E1141" s="3">
        <v>7987</v>
      </c>
      <c r="F1141">
        <v>2624</v>
      </c>
      <c r="G1141">
        <v>983</v>
      </c>
      <c r="H1141">
        <v>88</v>
      </c>
      <c r="I1141" t="s">
        <v>938</v>
      </c>
      <c r="J1141">
        <v>8</v>
      </c>
      <c r="K1141" t="s">
        <v>944</v>
      </c>
    </row>
    <row r="1142" spans="1:11" x14ac:dyDescent="0.25">
      <c r="A1142" t="s">
        <v>780</v>
      </c>
      <c r="B1142" t="s">
        <v>934</v>
      </c>
      <c r="C1142" s="3">
        <v>8618</v>
      </c>
      <c r="D1142" s="3">
        <v>5528</v>
      </c>
      <c r="E1142" s="3">
        <v>9176</v>
      </c>
      <c r="F1142">
        <v>2652</v>
      </c>
      <c r="G1142">
        <v>438</v>
      </c>
      <c r="H1142">
        <v>51</v>
      </c>
      <c r="I1142" t="s">
        <v>938</v>
      </c>
      <c r="J1142">
        <v>4</v>
      </c>
      <c r="K1142" t="s">
        <v>945</v>
      </c>
    </row>
    <row r="1143" spans="1:11" x14ac:dyDescent="0.25">
      <c r="A1143" t="s">
        <v>463</v>
      </c>
      <c r="B1143" t="s">
        <v>934</v>
      </c>
      <c r="C1143" s="3">
        <v>10948</v>
      </c>
      <c r="D1143" s="3">
        <v>6627</v>
      </c>
      <c r="E1143" s="3">
        <v>5724</v>
      </c>
      <c r="F1143">
        <v>3905</v>
      </c>
      <c r="G1143">
        <v>416</v>
      </c>
      <c r="H1143">
        <v>10</v>
      </c>
      <c r="I1143" t="s">
        <v>938</v>
      </c>
      <c r="J1143">
        <v>5</v>
      </c>
      <c r="K1143" t="s">
        <v>944</v>
      </c>
    </row>
    <row r="1144" spans="1:11" x14ac:dyDescent="0.25">
      <c r="A1144" t="s">
        <v>801</v>
      </c>
      <c r="B1144" t="s">
        <v>934</v>
      </c>
      <c r="C1144" s="3">
        <v>3909</v>
      </c>
      <c r="D1144" s="3">
        <v>-1334</v>
      </c>
      <c r="E1144" s="3">
        <v>8144</v>
      </c>
      <c r="F1144">
        <v>3513</v>
      </c>
      <c r="G1144">
        <v>1730</v>
      </c>
      <c r="H1144">
        <v>86</v>
      </c>
      <c r="I1144" t="s">
        <v>939</v>
      </c>
      <c r="J1144">
        <v>3</v>
      </c>
      <c r="K1144" t="s">
        <v>945</v>
      </c>
    </row>
    <row r="1145" spans="1:11" x14ac:dyDescent="0.25">
      <c r="A1145" t="s">
        <v>802</v>
      </c>
      <c r="B1145" t="s">
        <v>937</v>
      </c>
      <c r="C1145" s="3">
        <v>5995</v>
      </c>
      <c r="D1145" s="3">
        <v>3109</v>
      </c>
      <c r="E1145" s="3">
        <v>4753</v>
      </c>
      <c r="F1145">
        <v>2362</v>
      </c>
      <c r="G1145">
        <v>524</v>
      </c>
      <c r="H1145">
        <v>40</v>
      </c>
      <c r="I1145" t="s">
        <v>940</v>
      </c>
      <c r="J1145">
        <v>3</v>
      </c>
      <c r="K1145" t="s">
        <v>948</v>
      </c>
    </row>
    <row r="1146" spans="1:11" x14ac:dyDescent="0.25">
      <c r="A1146" t="s">
        <v>803</v>
      </c>
      <c r="B1146" t="s">
        <v>937</v>
      </c>
      <c r="C1146" s="3">
        <v>2435</v>
      </c>
      <c r="D1146" s="3">
        <v>-3529</v>
      </c>
      <c r="E1146" s="3">
        <v>6875</v>
      </c>
      <c r="F1146">
        <v>4900</v>
      </c>
      <c r="G1146">
        <v>1064</v>
      </c>
      <c r="H1146">
        <v>120</v>
      </c>
      <c r="I1146" t="s">
        <v>941</v>
      </c>
      <c r="J1146">
        <v>4</v>
      </c>
      <c r="K1146" t="s">
        <v>944</v>
      </c>
    </row>
    <row r="1147" spans="1:11" x14ac:dyDescent="0.25">
      <c r="A1147" t="s">
        <v>368</v>
      </c>
      <c r="B1147" t="s">
        <v>936</v>
      </c>
      <c r="C1147" s="3">
        <v>3186</v>
      </c>
      <c r="D1147" s="3">
        <v>-615</v>
      </c>
      <c r="E1147" s="3">
        <v>7711</v>
      </c>
      <c r="F1147">
        <v>3300</v>
      </c>
      <c r="G1147">
        <v>501</v>
      </c>
      <c r="H1147">
        <v>65</v>
      </c>
      <c r="I1147" t="s">
        <v>940</v>
      </c>
      <c r="J1147">
        <v>6</v>
      </c>
      <c r="K1147" t="s">
        <v>946</v>
      </c>
    </row>
    <row r="1148" spans="1:11" x14ac:dyDescent="0.25">
      <c r="A1148" t="s">
        <v>804</v>
      </c>
      <c r="B1148" t="s">
        <v>936</v>
      </c>
      <c r="C1148" s="3">
        <v>11306</v>
      </c>
      <c r="D1148" s="3">
        <v>8495</v>
      </c>
      <c r="E1148" s="3">
        <v>8490</v>
      </c>
      <c r="F1148">
        <v>2022</v>
      </c>
      <c r="G1148">
        <v>789</v>
      </c>
      <c r="H1148">
        <v>15</v>
      </c>
      <c r="I1148" t="s">
        <v>940</v>
      </c>
      <c r="J1148">
        <v>2</v>
      </c>
      <c r="K1148" t="s">
        <v>943</v>
      </c>
    </row>
    <row r="1149" spans="1:11" x14ac:dyDescent="0.25">
      <c r="A1149" t="s">
        <v>679</v>
      </c>
      <c r="B1149" t="s">
        <v>936</v>
      </c>
      <c r="C1149" s="3">
        <v>10968</v>
      </c>
      <c r="D1149" s="3">
        <v>9478</v>
      </c>
      <c r="E1149" s="3">
        <v>6192</v>
      </c>
      <c r="F1149">
        <v>898</v>
      </c>
      <c r="G1149">
        <v>592</v>
      </c>
      <c r="H1149">
        <v>82</v>
      </c>
      <c r="I1149" t="s">
        <v>939</v>
      </c>
      <c r="J1149">
        <v>10</v>
      </c>
      <c r="K1149" t="s">
        <v>950</v>
      </c>
    </row>
    <row r="1150" spans="1:11" x14ac:dyDescent="0.25">
      <c r="A1150" t="s">
        <v>744</v>
      </c>
      <c r="B1150" t="s">
        <v>936</v>
      </c>
      <c r="C1150" s="3">
        <v>7612</v>
      </c>
      <c r="D1150" s="3">
        <v>4226</v>
      </c>
      <c r="E1150" s="3">
        <v>5120</v>
      </c>
      <c r="F1150">
        <v>2078</v>
      </c>
      <c r="G1150">
        <v>1308</v>
      </c>
      <c r="H1150">
        <v>36</v>
      </c>
      <c r="I1150" t="s">
        <v>942</v>
      </c>
      <c r="J1150">
        <v>4</v>
      </c>
      <c r="K1150" t="s">
        <v>943</v>
      </c>
    </row>
    <row r="1151" spans="1:11" x14ac:dyDescent="0.25">
      <c r="A1151" t="s">
        <v>634</v>
      </c>
      <c r="B1151" t="s">
        <v>935</v>
      </c>
      <c r="C1151" s="3">
        <v>4086</v>
      </c>
      <c r="D1151" s="3">
        <v>879</v>
      </c>
      <c r="E1151" s="3">
        <v>6207</v>
      </c>
      <c r="F1151">
        <v>2860</v>
      </c>
      <c r="G1151">
        <v>347</v>
      </c>
      <c r="H1151">
        <v>41</v>
      </c>
      <c r="I1151" t="s">
        <v>942</v>
      </c>
      <c r="J1151">
        <v>10</v>
      </c>
      <c r="K1151" t="s">
        <v>950</v>
      </c>
    </row>
    <row r="1152" spans="1:11" x14ac:dyDescent="0.25">
      <c r="A1152" t="s">
        <v>805</v>
      </c>
      <c r="B1152" t="s">
        <v>935</v>
      </c>
      <c r="C1152" s="3">
        <v>5650</v>
      </c>
      <c r="D1152" s="3">
        <v>1099</v>
      </c>
      <c r="E1152" s="3">
        <v>6450</v>
      </c>
      <c r="F1152">
        <v>3304</v>
      </c>
      <c r="G1152">
        <v>1247</v>
      </c>
      <c r="H1152">
        <v>37</v>
      </c>
      <c r="I1152" t="s">
        <v>938</v>
      </c>
      <c r="J1152">
        <v>9</v>
      </c>
      <c r="K1152" t="s">
        <v>950</v>
      </c>
    </row>
    <row r="1153" spans="1:11" x14ac:dyDescent="0.25">
      <c r="A1153" t="s">
        <v>806</v>
      </c>
      <c r="B1153" t="s">
        <v>936</v>
      </c>
      <c r="C1153" s="3">
        <v>3476</v>
      </c>
      <c r="D1153" s="3">
        <v>-1410</v>
      </c>
      <c r="E1153" s="3">
        <v>5391</v>
      </c>
      <c r="F1153">
        <v>3314</v>
      </c>
      <c r="G1153">
        <v>1572</v>
      </c>
      <c r="H1153">
        <v>97</v>
      </c>
      <c r="I1153" t="s">
        <v>939</v>
      </c>
      <c r="J1153">
        <v>9</v>
      </c>
      <c r="K1153" t="s">
        <v>952</v>
      </c>
    </row>
    <row r="1154" spans="1:11" x14ac:dyDescent="0.25">
      <c r="A1154" t="s">
        <v>807</v>
      </c>
      <c r="B1154" t="s">
        <v>936</v>
      </c>
      <c r="C1154" s="3">
        <v>2094</v>
      </c>
      <c r="D1154" s="3">
        <v>-1999</v>
      </c>
      <c r="E1154" s="3">
        <v>7447</v>
      </c>
      <c r="F1154">
        <v>2106</v>
      </c>
      <c r="G1154">
        <v>1987</v>
      </c>
      <c r="H1154">
        <v>79</v>
      </c>
      <c r="I1154" t="s">
        <v>940</v>
      </c>
      <c r="J1154">
        <v>5</v>
      </c>
      <c r="K1154" t="s">
        <v>946</v>
      </c>
    </row>
    <row r="1155" spans="1:11" x14ac:dyDescent="0.25">
      <c r="A1155" t="s">
        <v>808</v>
      </c>
      <c r="B1155" t="s">
        <v>934</v>
      </c>
      <c r="C1155" s="3">
        <v>4228</v>
      </c>
      <c r="D1155" s="3">
        <v>-1357</v>
      </c>
      <c r="E1155" s="3">
        <v>6429</v>
      </c>
      <c r="F1155">
        <v>3601</v>
      </c>
      <c r="G1155">
        <v>1984</v>
      </c>
      <c r="H1155">
        <v>67</v>
      </c>
      <c r="I1155" t="s">
        <v>941</v>
      </c>
      <c r="J1155">
        <v>7</v>
      </c>
      <c r="K1155" t="s">
        <v>944</v>
      </c>
    </row>
    <row r="1156" spans="1:11" x14ac:dyDescent="0.25">
      <c r="A1156" t="s">
        <v>241</v>
      </c>
      <c r="B1156" t="s">
        <v>937</v>
      </c>
      <c r="C1156" s="3">
        <v>10209</v>
      </c>
      <c r="D1156" s="3">
        <v>6068</v>
      </c>
      <c r="E1156" s="3">
        <v>6764</v>
      </c>
      <c r="F1156">
        <v>3197</v>
      </c>
      <c r="G1156">
        <v>944</v>
      </c>
      <c r="H1156">
        <v>120</v>
      </c>
      <c r="I1156" t="s">
        <v>939</v>
      </c>
      <c r="J1156">
        <v>7</v>
      </c>
      <c r="K1156" t="s">
        <v>953</v>
      </c>
    </row>
    <row r="1157" spans="1:11" x14ac:dyDescent="0.25">
      <c r="A1157" t="s">
        <v>388</v>
      </c>
      <c r="B1157" t="s">
        <v>934</v>
      </c>
      <c r="C1157" s="3">
        <v>5189</v>
      </c>
      <c r="D1157" s="3">
        <v>3321</v>
      </c>
      <c r="E1157" s="3">
        <v>6962</v>
      </c>
      <c r="F1157">
        <v>1392</v>
      </c>
      <c r="G1157">
        <v>476</v>
      </c>
      <c r="H1157">
        <v>54</v>
      </c>
      <c r="I1157" t="s">
        <v>938</v>
      </c>
      <c r="J1157">
        <v>9</v>
      </c>
      <c r="K1157" t="s">
        <v>948</v>
      </c>
    </row>
    <row r="1158" spans="1:11" x14ac:dyDescent="0.25">
      <c r="A1158" t="s">
        <v>809</v>
      </c>
      <c r="B1158" t="s">
        <v>937</v>
      </c>
      <c r="C1158" s="3">
        <v>5053</v>
      </c>
      <c r="D1158" s="3">
        <v>699</v>
      </c>
      <c r="E1158" s="3">
        <v>6008</v>
      </c>
      <c r="F1158">
        <v>2751</v>
      </c>
      <c r="G1158">
        <v>1603</v>
      </c>
      <c r="H1158">
        <v>53</v>
      </c>
      <c r="I1158" t="s">
        <v>938</v>
      </c>
      <c r="J1158">
        <v>10</v>
      </c>
      <c r="K1158" t="s">
        <v>948</v>
      </c>
    </row>
    <row r="1159" spans="1:11" x14ac:dyDescent="0.25">
      <c r="A1159" t="s">
        <v>810</v>
      </c>
      <c r="B1159" t="s">
        <v>936</v>
      </c>
      <c r="C1159" s="3">
        <v>10554</v>
      </c>
      <c r="D1159" s="3">
        <v>5422</v>
      </c>
      <c r="E1159" s="3">
        <v>5897</v>
      </c>
      <c r="F1159">
        <v>4058</v>
      </c>
      <c r="G1159">
        <v>1074</v>
      </c>
      <c r="H1159">
        <v>67</v>
      </c>
      <c r="I1159" t="s">
        <v>941</v>
      </c>
      <c r="J1159">
        <v>6</v>
      </c>
      <c r="K1159" t="s">
        <v>954</v>
      </c>
    </row>
    <row r="1160" spans="1:11" x14ac:dyDescent="0.25">
      <c r="A1160" t="s">
        <v>82</v>
      </c>
      <c r="B1160" t="s">
        <v>935</v>
      </c>
      <c r="C1160" s="3">
        <v>4726</v>
      </c>
      <c r="D1160" s="3">
        <v>3492</v>
      </c>
      <c r="E1160" s="3">
        <v>8346</v>
      </c>
      <c r="F1160">
        <v>945</v>
      </c>
      <c r="G1160">
        <v>289</v>
      </c>
      <c r="H1160">
        <v>86</v>
      </c>
      <c r="I1160" t="s">
        <v>941</v>
      </c>
      <c r="J1160">
        <v>9</v>
      </c>
      <c r="K1160" t="s">
        <v>950</v>
      </c>
    </row>
    <row r="1161" spans="1:11" x14ac:dyDescent="0.25">
      <c r="A1161" t="s">
        <v>650</v>
      </c>
      <c r="B1161" t="s">
        <v>935</v>
      </c>
      <c r="C1161" s="3">
        <v>8969</v>
      </c>
      <c r="D1161" s="3">
        <v>3479</v>
      </c>
      <c r="E1161" s="3">
        <v>4457</v>
      </c>
      <c r="F1161">
        <v>4170</v>
      </c>
      <c r="G1161">
        <v>1320</v>
      </c>
      <c r="H1161">
        <v>53</v>
      </c>
      <c r="I1161" t="s">
        <v>938</v>
      </c>
      <c r="J1161">
        <v>2</v>
      </c>
      <c r="K1161" t="s">
        <v>943</v>
      </c>
    </row>
    <row r="1162" spans="1:11" x14ac:dyDescent="0.25">
      <c r="A1162" t="s">
        <v>376</v>
      </c>
      <c r="B1162" t="s">
        <v>936</v>
      </c>
      <c r="C1162" s="3">
        <v>9120</v>
      </c>
      <c r="D1162" s="3">
        <v>6269</v>
      </c>
      <c r="E1162" s="3">
        <v>6378</v>
      </c>
      <c r="F1162">
        <v>1778</v>
      </c>
      <c r="G1162">
        <v>1073</v>
      </c>
      <c r="H1162">
        <v>49</v>
      </c>
      <c r="I1162" t="s">
        <v>941</v>
      </c>
      <c r="J1162">
        <v>9</v>
      </c>
      <c r="K1162" t="s">
        <v>954</v>
      </c>
    </row>
    <row r="1163" spans="1:11" x14ac:dyDescent="0.25">
      <c r="A1163" t="s">
        <v>294</v>
      </c>
      <c r="B1163" t="s">
        <v>937</v>
      </c>
      <c r="C1163" s="3">
        <v>4787</v>
      </c>
      <c r="D1163" s="3">
        <v>-1386</v>
      </c>
      <c r="E1163" s="3">
        <v>6868</v>
      </c>
      <c r="F1163">
        <v>4515</v>
      </c>
      <c r="G1163">
        <v>1658</v>
      </c>
      <c r="H1163">
        <v>66</v>
      </c>
      <c r="I1163" t="s">
        <v>938</v>
      </c>
      <c r="J1163">
        <v>5</v>
      </c>
      <c r="K1163" t="s">
        <v>952</v>
      </c>
    </row>
    <row r="1164" spans="1:11" x14ac:dyDescent="0.25">
      <c r="A1164" t="s">
        <v>243</v>
      </c>
      <c r="B1164" t="s">
        <v>936</v>
      </c>
      <c r="C1164" s="3">
        <v>7983</v>
      </c>
      <c r="D1164" s="3">
        <v>2371</v>
      </c>
      <c r="E1164" s="3">
        <v>5977</v>
      </c>
      <c r="F1164">
        <v>4347</v>
      </c>
      <c r="G1164">
        <v>1265</v>
      </c>
      <c r="H1164">
        <v>62</v>
      </c>
      <c r="I1164" t="s">
        <v>938</v>
      </c>
      <c r="J1164">
        <v>9</v>
      </c>
      <c r="K1164" t="s">
        <v>951</v>
      </c>
    </row>
    <row r="1165" spans="1:11" x14ac:dyDescent="0.25">
      <c r="A1165" t="s">
        <v>811</v>
      </c>
      <c r="B1165" t="s">
        <v>935</v>
      </c>
      <c r="C1165" s="3">
        <v>8099</v>
      </c>
      <c r="D1165" s="3">
        <v>5667</v>
      </c>
      <c r="E1165" s="3">
        <v>8737</v>
      </c>
      <c r="F1165">
        <v>1005</v>
      </c>
      <c r="G1165">
        <v>1427</v>
      </c>
      <c r="H1165">
        <v>95</v>
      </c>
      <c r="I1165" t="s">
        <v>941</v>
      </c>
      <c r="J1165">
        <v>10</v>
      </c>
      <c r="K1165" t="s">
        <v>950</v>
      </c>
    </row>
    <row r="1166" spans="1:11" x14ac:dyDescent="0.25">
      <c r="A1166" t="s">
        <v>335</v>
      </c>
      <c r="B1166" t="s">
        <v>934</v>
      </c>
      <c r="C1166" s="3">
        <v>11397</v>
      </c>
      <c r="D1166" s="3">
        <v>7149</v>
      </c>
      <c r="E1166" s="3">
        <v>9949</v>
      </c>
      <c r="F1166">
        <v>3117</v>
      </c>
      <c r="G1166">
        <v>1131</v>
      </c>
      <c r="H1166">
        <v>92</v>
      </c>
      <c r="I1166" t="s">
        <v>942</v>
      </c>
      <c r="J1166">
        <v>2</v>
      </c>
      <c r="K1166" t="s">
        <v>946</v>
      </c>
    </row>
    <row r="1167" spans="1:11" x14ac:dyDescent="0.25">
      <c r="A1167" t="s">
        <v>812</v>
      </c>
      <c r="B1167" t="s">
        <v>934</v>
      </c>
      <c r="C1167" s="3">
        <v>11248</v>
      </c>
      <c r="D1167" s="3">
        <v>5120</v>
      </c>
      <c r="E1167" s="3">
        <v>8813</v>
      </c>
      <c r="F1167">
        <v>4926</v>
      </c>
      <c r="G1167">
        <v>1202</v>
      </c>
      <c r="H1167">
        <v>103</v>
      </c>
      <c r="I1167" t="s">
        <v>941</v>
      </c>
      <c r="J1167">
        <v>10</v>
      </c>
      <c r="K1167" t="s">
        <v>953</v>
      </c>
    </row>
    <row r="1168" spans="1:11" x14ac:dyDescent="0.25">
      <c r="A1168" t="s">
        <v>813</v>
      </c>
      <c r="B1168" t="s">
        <v>936</v>
      </c>
      <c r="C1168" s="3">
        <v>4168</v>
      </c>
      <c r="D1168" s="3">
        <v>62</v>
      </c>
      <c r="E1168" s="3">
        <v>8749</v>
      </c>
      <c r="F1168">
        <v>3305</v>
      </c>
      <c r="G1168">
        <v>801</v>
      </c>
      <c r="H1168">
        <v>98</v>
      </c>
      <c r="I1168" t="s">
        <v>938</v>
      </c>
      <c r="J1168">
        <v>8</v>
      </c>
      <c r="K1168" t="s">
        <v>953</v>
      </c>
    </row>
    <row r="1169" spans="1:11" x14ac:dyDescent="0.25">
      <c r="A1169" t="s">
        <v>814</v>
      </c>
      <c r="B1169" t="s">
        <v>934</v>
      </c>
      <c r="C1169" s="3">
        <v>9917</v>
      </c>
      <c r="D1169" s="3">
        <v>4240</v>
      </c>
      <c r="E1169" s="3">
        <v>4540</v>
      </c>
      <c r="F1169">
        <v>4973</v>
      </c>
      <c r="G1169">
        <v>704</v>
      </c>
      <c r="H1169">
        <v>53</v>
      </c>
      <c r="I1169" t="s">
        <v>939</v>
      </c>
      <c r="J1169">
        <v>3</v>
      </c>
      <c r="K1169" t="s">
        <v>953</v>
      </c>
    </row>
    <row r="1170" spans="1:11" x14ac:dyDescent="0.25">
      <c r="A1170" t="s">
        <v>815</v>
      </c>
      <c r="B1170" t="s">
        <v>935</v>
      </c>
      <c r="C1170" s="3">
        <v>9575</v>
      </c>
      <c r="D1170" s="3">
        <v>4300</v>
      </c>
      <c r="E1170" s="3">
        <v>6403</v>
      </c>
      <c r="F1170">
        <v>4191</v>
      </c>
      <c r="G1170">
        <v>1084</v>
      </c>
      <c r="H1170">
        <v>90</v>
      </c>
      <c r="I1170" t="s">
        <v>940</v>
      </c>
      <c r="J1170">
        <v>6</v>
      </c>
      <c r="K1170" t="s">
        <v>947</v>
      </c>
    </row>
    <row r="1171" spans="1:11" x14ac:dyDescent="0.25">
      <c r="A1171" t="s">
        <v>268</v>
      </c>
      <c r="B1171" t="s">
        <v>934</v>
      </c>
      <c r="C1171" s="3">
        <v>3246</v>
      </c>
      <c r="D1171" s="3">
        <v>1370</v>
      </c>
      <c r="E1171" s="3">
        <v>4610</v>
      </c>
      <c r="F1171">
        <v>1253</v>
      </c>
      <c r="G1171">
        <v>623</v>
      </c>
      <c r="H1171">
        <v>16</v>
      </c>
      <c r="I1171" t="s">
        <v>942</v>
      </c>
      <c r="J1171">
        <v>4</v>
      </c>
      <c r="K1171" t="s">
        <v>951</v>
      </c>
    </row>
    <row r="1172" spans="1:11" x14ac:dyDescent="0.25">
      <c r="A1172" t="s">
        <v>414</v>
      </c>
      <c r="B1172" t="s">
        <v>934</v>
      </c>
      <c r="C1172" s="3">
        <v>9093</v>
      </c>
      <c r="D1172" s="3">
        <v>4208</v>
      </c>
      <c r="E1172" s="3">
        <v>4972</v>
      </c>
      <c r="F1172">
        <v>4289</v>
      </c>
      <c r="G1172">
        <v>596</v>
      </c>
      <c r="H1172">
        <v>114</v>
      </c>
      <c r="I1172" t="s">
        <v>942</v>
      </c>
      <c r="J1172">
        <v>4</v>
      </c>
      <c r="K1172" t="s">
        <v>952</v>
      </c>
    </row>
    <row r="1173" spans="1:11" x14ac:dyDescent="0.25">
      <c r="A1173" t="s">
        <v>816</v>
      </c>
      <c r="B1173" t="s">
        <v>936</v>
      </c>
      <c r="C1173" s="3">
        <v>8660</v>
      </c>
      <c r="D1173" s="3">
        <v>5529</v>
      </c>
      <c r="E1173" s="3">
        <v>6656</v>
      </c>
      <c r="F1173">
        <v>2099</v>
      </c>
      <c r="G1173">
        <v>1032</v>
      </c>
      <c r="H1173">
        <v>80</v>
      </c>
      <c r="I1173" t="s">
        <v>942</v>
      </c>
      <c r="J1173">
        <v>4</v>
      </c>
      <c r="K1173" t="s">
        <v>945</v>
      </c>
    </row>
    <row r="1174" spans="1:11" x14ac:dyDescent="0.25">
      <c r="A1174" t="s">
        <v>655</v>
      </c>
      <c r="B1174" t="s">
        <v>936</v>
      </c>
      <c r="C1174" s="3">
        <v>7928</v>
      </c>
      <c r="D1174" s="3">
        <v>2591</v>
      </c>
      <c r="E1174" s="3">
        <v>7816</v>
      </c>
      <c r="F1174">
        <v>4262</v>
      </c>
      <c r="G1174">
        <v>1075</v>
      </c>
      <c r="H1174">
        <v>101</v>
      </c>
      <c r="I1174" t="s">
        <v>941</v>
      </c>
      <c r="J1174">
        <v>7</v>
      </c>
      <c r="K1174" t="s">
        <v>949</v>
      </c>
    </row>
    <row r="1175" spans="1:11" x14ac:dyDescent="0.25">
      <c r="A1175" t="s">
        <v>549</v>
      </c>
      <c r="B1175" t="s">
        <v>935</v>
      </c>
      <c r="C1175" s="3">
        <v>8961</v>
      </c>
      <c r="D1175" s="3">
        <v>5563</v>
      </c>
      <c r="E1175" s="3">
        <v>9485</v>
      </c>
      <c r="F1175">
        <v>2813</v>
      </c>
      <c r="G1175">
        <v>585</v>
      </c>
      <c r="H1175">
        <v>101</v>
      </c>
      <c r="I1175" t="s">
        <v>941</v>
      </c>
      <c r="J1175">
        <v>5</v>
      </c>
      <c r="K1175" t="s">
        <v>951</v>
      </c>
    </row>
    <row r="1176" spans="1:11" x14ac:dyDescent="0.25">
      <c r="A1176" t="s">
        <v>817</v>
      </c>
      <c r="B1176" t="s">
        <v>937</v>
      </c>
      <c r="C1176" s="3">
        <v>6193</v>
      </c>
      <c r="D1176" s="3">
        <v>3246</v>
      </c>
      <c r="E1176" s="3">
        <v>4935</v>
      </c>
      <c r="F1176">
        <v>2632</v>
      </c>
      <c r="G1176">
        <v>315</v>
      </c>
      <c r="H1176">
        <v>65</v>
      </c>
      <c r="I1176" t="s">
        <v>939</v>
      </c>
      <c r="J1176">
        <v>7</v>
      </c>
      <c r="K1176" t="s">
        <v>949</v>
      </c>
    </row>
    <row r="1177" spans="1:11" x14ac:dyDescent="0.25">
      <c r="A1177" t="s">
        <v>758</v>
      </c>
      <c r="B1177" t="s">
        <v>936</v>
      </c>
      <c r="C1177" s="3">
        <v>2259</v>
      </c>
      <c r="D1177" s="3">
        <v>-3041</v>
      </c>
      <c r="E1177" s="3">
        <v>7197</v>
      </c>
      <c r="F1177">
        <v>3900</v>
      </c>
      <c r="G1177">
        <v>1400</v>
      </c>
      <c r="H1177">
        <v>119</v>
      </c>
      <c r="I1177" t="s">
        <v>942</v>
      </c>
      <c r="J1177">
        <v>10</v>
      </c>
      <c r="K1177" t="s">
        <v>954</v>
      </c>
    </row>
    <row r="1178" spans="1:11" x14ac:dyDescent="0.25">
      <c r="A1178" t="s">
        <v>818</v>
      </c>
      <c r="B1178" t="s">
        <v>934</v>
      </c>
      <c r="C1178" s="3">
        <v>11176</v>
      </c>
      <c r="D1178" s="3">
        <v>6621</v>
      </c>
      <c r="E1178" s="3">
        <v>5158</v>
      </c>
      <c r="F1178">
        <v>4344</v>
      </c>
      <c r="G1178">
        <v>211</v>
      </c>
      <c r="H1178">
        <v>42</v>
      </c>
      <c r="I1178" t="s">
        <v>939</v>
      </c>
      <c r="J1178">
        <v>7</v>
      </c>
      <c r="K1178" t="s">
        <v>943</v>
      </c>
    </row>
    <row r="1179" spans="1:11" x14ac:dyDescent="0.25">
      <c r="A1179" t="s">
        <v>819</v>
      </c>
      <c r="B1179" t="s">
        <v>936</v>
      </c>
      <c r="C1179" s="3">
        <v>11250</v>
      </c>
      <c r="D1179" s="3">
        <v>4899</v>
      </c>
      <c r="E1179" s="3">
        <v>6276</v>
      </c>
      <c r="F1179">
        <v>4932</v>
      </c>
      <c r="G1179">
        <v>1419</v>
      </c>
      <c r="H1179">
        <v>104</v>
      </c>
      <c r="I1179" t="s">
        <v>941</v>
      </c>
      <c r="J1179">
        <v>2</v>
      </c>
      <c r="K1179" t="s">
        <v>944</v>
      </c>
    </row>
    <row r="1180" spans="1:11" x14ac:dyDescent="0.25">
      <c r="A1180" t="s">
        <v>292</v>
      </c>
      <c r="B1180" t="s">
        <v>936</v>
      </c>
      <c r="C1180" s="3">
        <v>4157</v>
      </c>
      <c r="D1180" s="3">
        <v>-1344</v>
      </c>
      <c r="E1180" s="3">
        <v>7554</v>
      </c>
      <c r="F1180">
        <v>4025</v>
      </c>
      <c r="G1180">
        <v>1476</v>
      </c>
      <c r="H1180">
        <v>26</v>
      </c>
      <c r="I1180" t="s">
        <v>942</v>
      </c>
      <c r="J1180">
        <v>4</v>
      </c>
      <c r="K1180" t="s">
        <v>953</v>
      </c>
    </row>
    <row r="1181" spans="1:11" x14ac:dyDescent="0.25">
      <c r="A1181" t="s">
        <v>294</v>
      </c>
      <c r="B1181" t="s">
        <v>934</v>
      </c>
      <c r="C1181" s="3">
        <v>4482</v>
      </c>
      <c r="D1181" s="3">
        <v>50</v>
      </c>
      <c r="E1181" s="3">
        <v>8362</v>
      </c>
      <c r="F1181">
        <v>3599</v>
      </c>
      <c r="G1181">
        <v>833</v>
      </c>
      <c r="H1181">
        <v>120</v>
      </c>
      <c r="I1181" t="s">
        <v>942</v>
      </c>
      <c r="J1181">
        <v>4</v>
      </c>
      <c r="K1181" t="s">
        <v>952</v>
      </c>
    </row>
    <row r="1182" spans="1:11" x14ac:dyDescent="0.25">
      <c r="A1182" t="s">
        <v>116</v>
      </c>
      <c r="B1182" t="s">
        <v>937</v>
      </c>
      <c r="C1182" s="3">
        <v>10572</v>
      </c>
      <c r="D1182" s="3">
        <v>8500</v>
      </c>
      <c r="E1182" s="3">
        <v>4600</v>
      </c>
      <c r="F1182">
        <v>1385</v>
      </c>
      <c r="G1182">
        <v>687</v>
      </c>
      <c r="H1182">
        <v>41</v>
      </c>
      <c r="I1182" t="s">
        <v>941</v>
      </c>
      <c r="J1182">
        <v>1</v>
      </c>
      <c r="K1182" t="s">
        <v>948</v>
      </c>
    </row>
    <row r="1183" spans="1:11" x14ac:dyDescent="0.25">
      <c r="A1183" t="s">
        <v>820</v>
      </c>
      <c r="B1183" t="s">
        <v>934</v>
      </c>
      <c r="C1183" s="3">
        <v>6632</v>
      </c>
      <c r="D1183" s="3">
        <v>1785</v>
      </c>
      <c r="E1183" s="3">
        <v>8994</v>
      </c>
      <c r="F1183">
        <v>3931</v>
      </c>
      <c r="G1183">
        <v>916</v>
      </c>
      <c r="H1183">
        <v>112</v>
      </c>
      <c r="I1183" t="s">
        <v>939</v>
      </c>
      <c r="J1183">
        <v>10</v>
      </c>
      <c r="K1183" t="s">
        <v>951</v>
      </c>
    </row>
    <row r="1184" spans="1:11" x14ac:dyDescent="0.25">
      <c r="A1184" t="s">
        <v>671</v>
      </c>
      <c r="B1184" t="s">
        <v>934</v>
      </c>
      <c r="C1184" s="3">
        <v>5646</v>
      </c>
      <c r="D1184" s="3">
        <v>1844</v>
      </c>
      <c r="E1184" s="3">
        <v>5170</v>
      </c>
      <c r="F1184">
        <v>2459</v>
      </c>
      <c r="G1184">
        <v>1343</v>
      </c>
      <c r="H1184">
        <v>56</v>
      </c>
      <c r="I1184" t="s">
        <v>942</v>
      </c>
      <c r="J1184">
        <v>2</v>
      </c>
      <c r="K1184" t="s">
        <v>947</v>
      </c>
    </row>
    <row r="1185" spans="1:11" x14ac:dyDescent="0.25">
      <c r="A1185" t="s">
        <v>821</v>
      </c>
      <c r="B1185" t="s">
        <v>935</v>
      </c>
      <c r="C1185" s="3">
        <v>7874</v>
      </c>
      <c r="D1185" s="3">
        <v>2328</v>
      </c>
      <c r="E1185" s="3">
        <v>8313</v>
      </c>
      <c r="F1185">
        <v>4793</v>
      </c>
      <c r="G1185">
        <v>753</v>
      </c>
      <c r="H1185">
        <v>111</v>
      </c>
      <c r="I1185" t="s">
        <v>940</v>
      </c>
      <c r="J1185">
        <v>7</v>
      </c>
      <c r="K1185" t="s">
        <v>954</v>
      </c>
    </row>
    <row r="1186" spans="1:11" x14ac:dyDescent="0.25">
      <c r="A1186" t="s">
        <v>410</v>
      </c>
      <c r="B1186" t="s">
        <v>936</v>
      </c>
      <c r="C1186" s="3">
        <v>9154</v>
      </c>
      <c r="D1186" s="3">
        <v>5101</v>
      </c>
      <c r="E1186" s="3">
        <v>4638</v>
      </c>
      <c r="F1186">
        <v>2777</v>
      </c>
      <c r="G1186">
        <v>1276</v>
      </c>
      <c r="H1186">
        <v>100</v>
      </c>
      <c r="I1186" t="s">
        <v>940</v>
      </c>
      <c r="J1186">
        <v>1</v>
      </c>
      <c r="K1186" t="s">
        <v>954</v>
      </c>
    </row>
    <row r="1187" spans="1:11" x14ac:dyDescent="0.25">
      <c r="A1187" t="s">
        <v>259</v>
      </c>
      <c r="B1187" t="s">
        <v>937</v>
      </c>
      <c r="C1187" s="3">
        <v>9469</v>
      </c>
      <c r="D1187" s="3">
        <v>5810</v>
      </c>
      <c r="E1187" s="3">
        <v>7438</v>
      </c>
      <c r="F1187">
        <v>1841</v>
      </c>
      <c r="G1187">
        <v>1818</v>
      </c>
      <c r="H1187">
        <v>37</v>
      </c>
      <c r="I1187" t="s">
        <v>939</v>
      </c>
      <c r="J1187">
        <v>6</v>
      </c>
      <c r="K1187" t="s">
        <v>946</v>
      </c>
    </row>
    <row r="1188" spans="1:11" x14ac:dyDescent="0.25">
      <c r="A1188" t="s">
        <v>78</v>
      </c>
      <c r="B1188" t="s">
        <v>937</v>
      </c>
      <c r="C1188" s="3">
        <v>11371</v>
      </c>
      <c r="D1188" s="3">
        <v>7139</v>
      </c>
      <c r="E1188" s="3">
        <v>7988</v>
      </c>
      <c r="F1188">
        <v>2829</v>
      </c>
      <c r="G1188">
        <v>1403</v>
      </c>
      <c r="H1188">
        <v>108</v>
      </c>
      <c r="I1188" t="s">
        <v>939</v>
      </c>
      <c r="J1188">
        <v>7</v>
      </c>
      <c r="K1188" t="s">
        <v>954</v>
      </c>
    </row>
    <row r="1189" spans="1:11" x14ac:dyDescent="0.25">
      <c r="A1189" t="s">
        <v>822</v>
      </c>
      <c r="B1189" t="s">
        <v>937</v>
      </c>
      <c r="C1189" s="3">
        <v>8456</v>
      </c>
      <c r="D1189" s="3">
        <v>3208</v>
      </c>
      <c r="E1189" s="3">
        <v>8653</v>
      </c>
      <c r="F1189">
        <v>3824</v>
      </c>
      <c r="G1189">
        <v>1424</v>
      </c>
      <c r="H1189">
        <v>16</v>
      </c>
      <c r="I1189" t="s">
        <v>941</v>
      </c>
      <c r="J1189">
        <v>3</v>
      </c>
      <c r="K1189" t="s">
        <v>944</v>
      </c>
    </row>
    <row r="1190" spans="1:11" x14ac:dyDescent="0.25">
      <c r="A1190" t="s">
        <v>823</v>
      </c>
      <c r="B1190" t="s">
        <v>937</v>
      </c>
      <c r="C1190" s="3">
        <v>10687</v>
      </c>
      <c r="D1190" s="3">
        <v>6977</v>
      </c>
      <c r="E1190" s="3">
        <v>8522</v>
      </c>
      <c r="F1190">
        <v>2276</v>
      </c>
      <c r="G1190">
        <v>1434</v>
      </c>
      <c r="H1190">
        <v>18</v>
      </c>
      <c r="I1190" t="s">
        <v>940</v>
      </c>
      <c r="J1190">
        <v>8</v>
      </c>
      <c r="K1190" t="s">
        <v>949</v>
      </c>
    </row>
    <row r="1191" spans="1:11" x14ac:dyDescent="0.25">
      <c r="A1191" t="s">
        <v>42</v>
      </c>
      <c r="B1191" t="s">
        <v>934</v>
      </c>
      <c r="C1191" s="3">
        <v>2697</v>
      </c>
      <c r="D1191" s="3">
        <v>-1392</v>
      </c>
      <c r="E1191" s="3">
        <v>8860</v>
      </c>
      <c r="F1191">
        <v>3143</v>
      </c>
      <c r="G1191">
        <v>946</v>
      </c>
      <c r="H1191">
        <v>64</v>
      </c>
      <c r="I1191" t="s">
        <v>942</v>
      </c>
      <c r="J1191">
        <v>1</v>
      </c>
      <c r="K1191" t="s">
        <v>945</v>
      </c>
    </row>
    <row r="1192" spans="1:11" x14ac:dyDescent="0.25">
      <c r="A1192" t="s">
        <v>342</v>
      </c>
      <c r="B1192" t="s">
        <v>936</v>
      </c>
      <c r="C1192" s="3">
        <v>6379</v>
      </c>
      <c r="D1192" s="3">
        <v>2887</v>
      </c>
      <c r="E1192" s="3">
        <v>9185</v>
      </c>
      <c r="F1192">
        <v>2414</v>
      </c>
      <c r="G1192">
        <v>1078</v>
      </c>
      <c r="H1192">
        <v>60</v>
      </c>
      <c r="I1192" t="s">
        <v>938</v>
      </c>
      <c r="J1192">
        <v>3</v>
      </c>
      <c r="K1192" t="s">
        <v>954</v>
      </c>
    </row>
    <row r="1193" spans="1:11" x14ac:dyDescent="0.25">
      <c r="A1193" t="s">
        <v>134</v>
      </c>
      <c r="B1193" t="s">
        <v>936</v>
      </c>
      <c r="C1193" s="3">
        <v>5826</v>
      </c>
      <c r="D1193" s="3">
        <v>2950</v>
      </c>
      <c r="E1193" s="3">
        <v>4437</v>
      </c>
      <c r="F1193">
        <v>2635</v>
      </c>
      <c r="G1193">
        <v>241</v>
      </c>
      <c r="H1193">
        <v>53</v>
      </c>
      <c r="I1193" t="s">
        <v>942</v>
      </c>
      <c r="J1193">
        <v>4</v>
      </c>
      <c r="K1193" t="s">
        <v>953</v>
      </c>
    </row>
    <row r="1194" spans="1:11" x14ac:dyDescent="0.25">
      <c r="A1194" t="s">
        <v>758</v>
      </c>
      <c r="B1194" t="s">
        <v>934</v>
      </c>
      <c r="C1194" s="3">
        <v>3480</v>
      </c>
      <c r="D1194" s="3">
        <v>-890</v>
      </c>
      <c r="E1194" s="3">
        <v>6495</v>
      </c>
      <c r="F1194">
        <v>3402</v>
      </c>
      <c r="G1194">
        <v>968</v>
      </c>
      <c r="H1194">
        <v>73</v>
      </c>
      <c r="I1194" t="s">
        <v>941</v>
      </c>
      <c r="J1194">
        <v>7</v>
      </c>
      <c r="K1194" t="s">
        <v>954</v>
      </c>
    </row>
    <row r="1195" spans="1:11" x14ac:dyDescent="0.25">
      <c r="A1195" t="s">
        <v>463</v>
      </c>
      <c r="B1195" t="s">
        <v>936</v>
      </c>
      <c r="C1195" s="3">
        <v>9763</v>
      </c>
      <c r="D1195" s="3">
        <v>6340</v>
      </c>
      <c r="E1195" s="3">
        <v>7322</v>
      </c>
      <c r="F1195">
        <v>2384</v>
      </c>
      <c r="G1195">
        <v>1039</v>
      </c>
      <c r="H1195">
        <v>98</v>
      </c>
      <c r="I1195" t="s">
        <v>939</v>
      </c>
      <c r="J1195">
        <v>10</v>
      </c>
      <c r="K1195" t="s">
        <v>944</v>
      </c>
    </row>
    <row r="1196" spans="1:11" x14ac:dyDescent="0.25">
      <c r="A1196" t="s">
        <v>824</v>
      </c>
      <c r="B1196" t="s">
        <v>935</v>
      </c>
      <c r="C1196" s="3">
        <v>8991</v>
      </c>
      <c r="D1196" s="3">
        <v>3571</v>
      </c>
      <c r="E1196" s="3">
        <v>5509</v>
      </c>
      <c r="F1196">
        <v>3450</v>
      </c>
      <c r="G1196">
        <v>1970</v>
      </c>
      <c r="H1196">
        <v>117</v>
      </c>
      <c r="I1196" t="s">
        <v>939</v>
      </c>
      <c r="J1196">
        <v>4</v>
      </c>
      <c r="K1196" t="s">
        <v>949</v>
      </c>
    </row>
    <row r="1197" spans="1:11" x14ac:dyDescent="0.25">
      <c r="A1197" t="s">
        <v>825</v>
      </c>
      <c r="B1197" t="s">
        <v>937</v>
      </c>
      <c r="C1197" s="3">
        <v>10014</v>
      </c>
      <c r="D1197" s="3">
        <v>4504</v>
      </c>
      <c r="E1197" s="3">
        <v>9689</v>
      </c>
      <c r="F1197">
        <v>3682</v>
      </c>
      <c r="G1197">
        <v>1828</v>
      </c>
      <c r="H1197">
        <v>65</v>
      </c>
      <c r="I1197" t="s">
        <v>938</v>
      </c>
      <c r="J1197">
        <v>3</v>
      </c>
      <c r="K1197" t="s">
        <v>954</v>
      </c>
    </row>
    <row r="1198" spans="1:11" x14ac:dyDescent="0.25">
      <c r="A1198" t="s">
        <v>733</v>
      </c>
      <c r="B1198" t="s">
        <v>935</v>
      </c>
      <c r="C1198" s="3">
        <v>4221</v>
      </c>
      <c r="D1198" s="3">
        <v>-1031</v>
      </c>
      <c r="E1198" s="3">
        <v>8371</v>
      </c>
      <c r="F1198">
        <v>4923</v>
      </c>
      <c r="G1198">
        <v>329</v>
      </c>
      <c r="H1198">
        <v>107</v>
      </c>
      <c r="I1198" t="s">
        <v>939</v>
      </c>
      <c r="J1198">
        <v>9</v>
      </c>
      <c r="K1198" t="s">
        <v>951</v>
      </c>
    </row>
    <row r="1199" spans="1:11" x14ac:dyDescent="0.25">
      <c r="A1199" t="s">
        <v>826</v>
      </c>
      <c r="B1199" t="s">
        <v>935</v>
      </c>
      <c r="C1199" s="3">
        <v>7856</v>
      </c>
      <c r="D1199" s="3">
        <v>3933</v>
      </c>
      <c r="E1199" s="3">
        <v>6219</v>
      </c>
      <c r="F1199">
        <v>3508</v>
      </c>
      <c r="G1199">
        <v>415</v>
      </c>
      <c r="H1199">
        <v>106</v>
      </c>
      <c r="I1199" t="s">
        <v>941</v>
      </c>
      <c r="J1199">
        <v>7</v>
      </c>
      <c r="K1199" t="s">
        <v>946</v>
      </c>
    </row>
    <row r="1200" spans="1:11" x14ac:dyDescent="0.25">
      <c r="A1200" t="s">
        <v>827</v>
      </c>
      <c r="B1200" t="s">
        <v>937</v>
      </c>
      <c r="C1200" s="3">
        <v>10321</v>
      </c>
      <c r="D1200" s="3">
        <v>4320</v>
      </c>
      <c r="E1200" s="3">
        <v>9124</v>
      </c>
      <c r="F1200">
        <v>4383</v>
      </c>
      <c r="G1200">
        <v>1618</v>
      </c>
      <c r="H1200">
        <v>101</v>
      </c>
      <c r="I1200" t="s">
        <v>942</v>
      </c>
      <c r="J1200">
        <v>5</v>
      </c>
      <c r="K1200" t="s">
        <v>950</v>
      </c>
    </row>
    <row r="1201" spans="1:11" x14ac:dyDescent="0.25">
      <c r="A1201" t="s">
        <v>413</v>
      </c>
      <c r="B1201" t="s">
        <v>935</v>
      </c>
      <c r="C1201" s="3">
        <v>5065</v>
      </c>
      <c r="D1201" s="3">
        <v>1677</v>
      </c>
      <c r="E1201" s="3">
        <v>4233</v>
      </c>
      <c r="F1201">
        <v>2520</v>
      </c>
      <c r="G1201">
        <v>868</v>
      </c>
      <c r="H1201">
        <v>120</v>
      </c>
      <c r="I1201" t="s">
        <v>939</v>
      </c>
      <c r="J1201">
        <v>5</v>
      </c>
      <c r="K1201" t="s">
        <v>952</v>
      </c>
    </row>
    <row r="1202" spans="1:11" x14ac:dyDescent="0.25">
      <c r="A1202" t="s">
        <v>416</v>
      </c>
      <c r="B1202" t="s">
        <v>936</v>
      </c>
      <c r="C1202" s="3">
        <v>11382</v>
      </c>
      <c r="D1202" s="3">
        <v>5315</v>
      </c>
      <c r="E1202" s="3">
        <v>8298</v>
      </c>
      <c r="F1202">
        <v>4390</v>
      </c>
      <c r="G1202">
        <v>1677</v>
      </c>
      <c r="H1202">
        <v>84</v>
      </c>
      <c r="I1202" t="s">
        <v>942</v>
      </c>
      <c r="J1202">
        <v>8</v>
      </c>
      <c r="K1202" t="s">
        <v>949</v>
      </c>
    </row>
    <row r="1203" spans="1:11" x14ac:dyDescent="0.25">
      <c r="A1203" t="s">
        <v>551</v>
      </c>
      <c r="B1203" t="s">
        <v>935</v>
      </c>
      <c r="C1203" s="3">
        <v>5766</v>
      </c>
      <c r="D1203" s="3">
        <v>-821</v>
      </c>
      <c r="E1203" s="3">
        <v>5500</v>
      </c>
      <c r="F1203">
        <v>4872</v>
      </c>
      <c r="G1203">
        <v>1715</v>
      </c>
      <c r="H1203">
        <v>84</v>
      </c>
      <c r="I1203" t="s">
        <v>940</v>
      </c>
      <c r="J1203">
        <v>7</v>
      </c>
      <c r="K1203" t="s">
        <v>948</v>
      </c>
    </row>
    <row r="1204" spans="1:11" x14ac:dyDescent="0.25">
      <c r="A1204" t="s">
        <v>543</v>
      </c>
      <c r="B1204" t="s">
        <v>934</v>
      </c>
      <c r="C1204" s="3">
        <v>10389</v>
      </c>
      <c r="D1204" s="3">
        <v>7473</v>
      </c>
      <c r="E1204" s="3">
        <v>4148</v>
      </c>
      <c r="F1204">
        <v>2667</v>
      </c>
      <c r="G1204">
        <v>249</v>
      </c>
      <c r="H1204">
        <v>104</v>
      </c>
      <c r="I1204" t="s">
        <v>942</v>
      </c>
      <c r="J1204">
        <v>3</v>
      </c>
      <c r="K1204" t="s">
        <v>945</v>
      </c>
    </row>
    <row r="1205" spans="1:11" x14ac:dyDescent="0.25">
      <c r="A1205" t="s">
        <v>828</v>
      </c>
      <c r="B1205" t="s">
        <v>936</v>
      </c>
      <c r="C1205" s="3">
        <v>2137</v>
      </c>
      <c r="D1205" s="3">
        <v>-713</v>
      </c>
      <c r="E1205" s="3">
        <v>5120</v>
      </c>
      <c r="F1205">
        <v>1346</v>
      </c>
      <c r="G1205">
        <v>1504</v>
      </c>
      <c r="H1205">
        <v>106</v>
      </c>
      <c r="I1205" t="s">
        <v>940</v>
      </c>
      <c r="J1205">
        <v>6</v>
      </c>
      <c r="K1205" t="s">
        <v>948</v>
      </c>
    </row>
    <row r="1206" spans="1:11" x14ac:dyDescent="0.25">
      <c r="A1206" t="s">
        <v>829</v>
      </c>
      <c r="B1206" t="s">
        <v>934</v>
      </c>
      <c r="C1206" s="3">
        <v>4782</v>
      </c>
      <c r="D1206" s="3">
        <v>244</v>
      </c>
      <c r="E1206" s="3">
        <v>5880</v>
      </c>
      <c r="F1206">
        <v>3837</v>
      </c>
      <c r="G1206">
        <v>701</v>
      </c>
      <c r="H1206">
        <v>75</v>
      </c>
      <c r="I1206" t="s">
        <v>940</v>
      </c>
      <c r="J1206">
        <v>10</v>
      </c>
      <c r="K1206" t="s">
        <v>952</v>
      </c>
    </row>
    <row r="1207" spans="1:11" x14ac:dyDescent="0.25">
      <c r="A1207" t="s">
        <v>830</v>
      </c>
      <c r="B1207" t="s">
        <v>934</v>
      </c>
      <c r="C1207" s="3">
        <v>8993</v>
      </c>
      <c r="D1207" s="3">
        <v>5120</v>
      </c>
      <c r="E1207" s="3">
        <v>5524</v>
      </c>
      <c r="F1207">
        <v>2440</v>
      </c>
      <c r="G1207">
        <v>1433</v>
      </c>
      <c r="H1207">
        <v>112</v>
      </c>
      <c r="I1207" t="s">
        <v>940</v>
      </c>
      <c r="J1207">
        <v>8</v>
      </c>
      <c r="K1207" t="s">
        <v>948</v>
      </c>
    </row>
    <row r="1208" spans="1:11" x14ac:dyDescent="0.25">
      <c r="A1208" t="s">
        <v>831</v>
      </c>
      <c r="B1208" t="s">
        <v>937</v>
      </c>
      <c r="C1208" s="3">
        <v>9365</v>
      </c>
      <c r="D1208" s="3">
        <v>3327</v>
      </c>
      <c r="E1208" s="3">
        <v>4167</v>
      </c>
      <c r="F1208">
        <v>4630</v>
      </c>
      <c r="G1208">
        <v>1408</v>
      </c>
      <c r="H1208">
        <v>55</v>
      </c>
      <c r="I1208" t="s">
        <v>938</v>
      </c>
      <c r="J1208">
        <v>2</v>
      </c>
      <c r="K1208" t="s">
        <v>944</v>
      </c>
    </row>
    <row r="1209" spans="1:11" x14ac:dyDescent="0.25">
      <c r="A1209" t="s">
        <v>832</v>
      </c>
      <c r="B1209" t="s">
        <v>934</v>
      </c>
      <c r="C1209" s="3">
        <v>11334</v>
      </c>
      <c r="D1209" s="3">
        <v>8969</v>
      </c>
      <c r="E1209" s="3">
        <v>8267</v>
      </c>
      <c r="F1209">
        <v>1061</v>
      </c>
      <c r="G1209">
        <v>1304</v>
      </c>
      <c r="H1209">
        <v>67</v>
      </c>
      <c r="I1209" t="s">
        <v>938</v>
      </c>
      <c r="J1209">
        <v>10</v>
      </c>
      <c r="K1209" t="s">
        <v>943</v>
      </c>
    </row>
    <row r="1210" spans="1:11" x14ac:dyDescent="0.25">
      <c r="A1210" t="s">
        <v>649</v>
      </c>
      <c r="B1210" t="s">
        <v>936</v>
      </c>
      <c r="C1210" s="3">
        <v>2240</v>
      </c>
      <c r="D1210" s="3">
        <v>-1652</v>
      </c>
      <c r="E1210" s="3">
        <v>4238</v>
      </c>
      <c r="F1210">
        <v>1971</v>
      </c>
      <c r="G1210">
        <v>1921</v>
      </c>
      <c r="H1210">
        <v>73</v>
      </c>
      <c r="I1210" t="s">
        <v>941</v>
      </c>
      <c r="J1210">
        <v>10</v>
      </c>
      <c r="K1210" t="s">
        <v>947</v>
      </c>
    </row>
    <row r="1211" spans="1:11" x14ac:dyDescent="0.25">
      <c r="A1211" t="s">
        <v>389</v>
      </c>
      <c r="B1211" t="s">
        <v>936</v>
      </c>
      <c r="C1211" s="3">
        <v>5891</v>
      </c>
      <c r="D1211" s="3">
        <v>2123</v>
      </c>
      <c r="E1211" s="3">
        <v>6895</v>
      </c>
      <c r="F1211">
        <v>2670</v>
      </c>
      <c r="G1211">
        <v>1098</v>
      </c>
      <c r="H1211">
        <v>85</v>
      </c>
      <c r="I1211" t="s">
        <v>939</v>
      </c>
      <c r="J1211">
        <v>9</v>
      </c>
      <c r="K1211" t="s">
        <v>946</v>
      </c>
    </row>
    <row r="1212" spans="1:11" x14ac:dyDescent="0.25">
      <c r="A1212" t="s">
        <v>833</v>
      </c>
      <c r="B1212" t="s">
        <v>937</v>
      </c>
      <c r="C1212" s="3">
        <v>9065</v>
      </c>
      <c r="D1212" s="3">
        <v>3242</v>
      </c>
      <c r="E1212" s="3">
        <v>8665</v>
      </c>
      <c r="F1212">
        <v>4756</v>
      </c>
      <c r="G1212">
        <v>1067</v>
      </c>
      <c r="H1212">
        <v>93</v>
      </c>
      <c r="I1212" t="s">
        <v>939</v>
      </c>
      <c r="J1212">
        <v>10</v>
      </c>
      <c r="K1212" t="s">
        <v>953</v>
      </c>
    </row>
    <row r="1213" spans="1:11" x14ac:dyDescent="0.25">
      <c r="A1213" t="s">
        <v>160</v>
      </c>
      <c r="B1213" t="s">
        <v>936</v>
      </c>
      <c r="C1213" s="3">
        <v>6067</v>
      </c>
      <c r="D1213" s="3">
        <v>2503</v>
      </c>
      <c r="E1213" s="3">
        <v>4393</v>
      </c>
      <c r="F1213">
        <v>1838</v>
      </c>
      <c r="G1213">
        <v>1726</v>
      </c>
      <c r="H1213">
        <v>82</v>
      </c>
      <c r="I1213" t="s">
        <v>940</v>
      </c>
      <c r="J1213">
        <v>5</v>
      </c>
      <c r="K1213" t="s">
        <v>948</v>
      </c>
    </row>
    <row r="1214" spans="1:11" x14ac:dyDescent="0.25">
      <c r="A1214" t="s">
        <v>411</v>
      </c>
      <c r="B1214" t="s">
        <v>935</v>
      </c>
      <c r="C1214" s="3">
        <v>6744</v>
      </c>
      <c r="D1214" s="3">
        <v>1422</v>
      </c>
      <c r="E1214" s="3">
        <v>7229</v>
      </c>
      <c r="F1214">
        <v>3984</v>
      </c>
      <c r="G1214">
        <v>1338</v>
      </c>
      <c r="H1214">
        <v>19</v>
      </c>
      <c r="I1214" t="s">
        <v>940</v>
      </c>
      <c r="J1214">
        <v>6</v>
      </c>
      <c r="K1214" t="s">
        <v>944</v>
      </c>
    </row>
    <row r="1215" spans="1:11" x14ac:dyDescent="0.25">
      <c r="A1215" t="s">
        <v>635</v>
      </c>
      <c r="B1215" t="s">
        <v>935</v>
      </c>
      <c r="C1215" s="3">
        <v>8877</v>
      </c>
      <c r="D1215" s="3">
        <v>3905</v>
      </c>
      <c r="E1215" s="3">
        <v>5706</v>
      </c>
      <c r="F1215">
        <v>4673</v>
      </c>
      <c r="G1215">
        <v>299</v>
      </c>
      <c r="H1215">
        <v>105</v>
      </c>
      <c r="I1215" t="s">
        <v>938</v>
      </c>
      <c r="J1215">
        <v>4</v>
      </c>
      <c r="K1215" t="s">
        <v>945</v>
      </c>
    </row>
    <row r="1216" spans="1:11" x14ac:dyDescent="0.25">
      <c r="A1216" t="s">
        <v>343</v>
      </c>
      <c r="B1216" t="s">
        <v>937</v>
      </c>
      <c r="C1216" s="3">
        <v>7287</v>
      </c>
      <c r="D1216" s="3">
        <v>5043</v>
      </c>
      <c r="E1216" s="3">
        <v>4912</v>
      </c>
      <c r="F1216">
        <v>1074</v>
      </c>
      <c r="G1216">
        <v>1170</v>
      </c>
      <c r="H1216">
        <v>58</v>
      </c>
      <c r="I1216" t="s">
        <v>939</v>
      </c>
      <c r="J1216">
        <v>3</v>
      </c>
      <c r="K1216" t="s">
        <v>949</v>
      </c>
    </row>
    <row r="1217" spans="1:11" x14ac:dyDescent="0.25">
      <c r="A1217" t="s">
        <v>834</v>
      </c>
      <c r="B1217" t="s">
        <v>934</v>
      </c>
      <c r="C1217" s="3">
        <v>8559</v>
      </c>
      <c r="D1217" s="3">
        <v>1928</v>
      </c>
      <c r="E1217" s="3">
        <v>8173</v>
      </c>
      <c r="F1217">
        <v>4955</v>
      </c>
      <c r="G1217">
        <v>1676</v>
      </c>
      <c r="H1217">
        <v>74</v>
      </c>
      <c r="I1217" t="s">
        <v>941</v>
      </c>
      <c r="J1217">
        <v>1</v>
      </c>
      <c r="K1217" t="s">
        <v>950</v>
      </c>
    </row>
    <row r="1218" spans="1:11" x14ac:dyDescent="0.25">
      <c r="A1218" t="s">
        <v>835</v>
      </c>
      <c r="B1218" t="s">
        <v>936</v>
      </c>
      <c r="C1218" s="3">
        <v>9662</v>
      </c>
      <c r="D1218" s="3">
        <v>6238</v>
      </c>
      <c r="E1218" s="3">
        <v>5685</v>
      </c>
      <c r="F1218">
        <v>2535</v>
      </c>
      <c r="G1218">
        <v>889</v>
      </c>
      <c r="H1218">
        <v>21</v>
      </c>
      <c r="I1218" t="s">
        <v>942</v>
      </c>
      <c r="J1218">
        <v>8</v>
      </c>
      <c r="K1218" t="s">
        <v>945</v>
      </c>
    </row>
    <row r="1219" spans="1:11" x14ac:dyDescent="0.25">
      <c r="A1219" t="s">
        <v>836</v>
      </c>
      <c r="B1219" t="s">
        <v>936</v>
      </c>
      <c r="C1219" s="3">
        <v>7293</v>
      </c>
      <c r="D1219" s="3">
        <v>5792</v>
      </c>
      <c r="E1219" s="3">
        <v>8897</v>
      </c>
      <c r="F1219">
        <v>1252</v>
      </c>
      <c r="G1219">
        <v>249</v>
      </c>
      <c r="H1219">
        <v>67</v>
      </c>
      <c r="I1219" t="s">
        <v>942</v>
      </c>
      <c r="J1219">
        <v>8</v>
      </c>
      <c r="K1219" t="s">
        <v>947</v>
      </c>
    </row>
    <row r="1220" spans="1:11" x14ac:dyDescent="0.25">
      <c r="A1220" t="s">
        <v>532</v>
      </c>
      <c r="B1220" t="s">
        <v>935</v>
      </c>
      <c r="C1220" s="3">
        <v>4522</v>
      </c>
      <c r="D1220" s="3">
        <v>100</v>
      </c>
      <c r="E1220" s="3">
        <v>7945</v>
      </c>
      <c r="F1220">
        <v>3803</v>
      </c>
      <c r="G1220">
        <v>619</v>
      </c>
      <c r="H1220">
        <v>69</v>
      </c>
      <c r="I1220" t="s">
        <v>938</v>
      </c>
      <c r="J1220">
        <v>5</v>
      </c>
      <c r="K1220" t="s">
        <v>943</v>
      </c>
    </row>
    <row r="1221" spans="1:11" x14ac:dyDescent="0.25">
      <c r="A1221" t="s">
        <v>589</v>
      </c>
      <c r="B1221" t="s">
        <v>934</v>
      </c>
      <c r="C1221" s="3">
        <v>6828</v>
      </c>
      <c r="D1221" s="3">
        <v>4400</v>
      </c>
      <c r="E1221" s="3">
        <v>4074</v>
      </c>
      <c r="F1221">
        <v>1596</v>
      </c>
      <c r="G1221">
        <v>832</v>
      </c>
      <c r="H1221">
        <v>40</v>
      </c>
      <c r="I1221" t="s">
        <v>938</v>
      </c>
      <c r="J1221">
        <v>3</v>
      </c>
      <c r="K1221" t="s">
        <v>952</v>
      </c>
    </row>
    <row r="1222" spans="1:11" x14ac:dyDescent="0.25">
      <c r="A1222" t="s">
        <v>109</v>
      </c>
      <c r="B1222" t="s">
        <v>934</v>
      </c>
      <c r="C1222" s="3">
        <v>7912</v>
      </c>
      <c r="D1222" s="3">
        <v>4649</v>
      </c>
      <c r="E1222" s="3">
        <v>7995</v>
      </c>
      <c r="F1222">
        <v>2620</v>
      </c>
      <c r="G1222">
        <v>643</v>
      </c>
      <c r="H1222">
        <v>110</v>
      </c>
      <c r="I1222" t="s">
        <v>939</v>
      </c>
      <c r="J1222">
        <v>2</v>
      </c>
      <c r="K1222" t="s">
        <v>952</v>
      </c>
    </row>
    <row r="1223" spans="1:11" x14ac:dyDescent="0.25">
      <c r="A1223" t="s">
        <v>837</v>
      </c>
      <c r="B1223" t="s">
        <v>937</v>
      </c>
      <c r="C1223" s="3">
        <v>5960</v>
      </c>
      <c r="D1223" s="3">
        <v>2034</v>
      </c>
      <c r="E1223" s="3">
        <v>9029</v>
      </c>
      <c r="F1223">
        <v>2439</v>
      </c>
      <c r="G1223">
        <v>1487</v>
      </c>
      <c r="H1223">
        <v>44</v>
      </c>
      <c r="I1223" t="s">
        <v>942</v>
      </c>
      <c r="J1223">
        <v>3</v>
      </c>
      <c r="K1223" t="s">
        <v>948</v>
      </c>
    </row>
    <row r="1224" spans="1:11" x14ac:dyDescent="0.25">
      <c r="A1224" t="s">
        <v>221</v>
      </c>
      <c r="B1224" t="s">
        <v>936</v>
      </c>
      <c r="C1224" s="3">
        <v>5254</v>
      </c>
      <c r="D1224" s="3">
        <v>1545</v>
      </c>
      <c r="E1224" s="3">
        <v>4322</v>
      </c>
      <c r="F1224">
        <v>2470</v>
      </c>
      <c r="G1224">
        <v>1239</v>
      </c>
      <c r="H1224">
        <v>104</v>
      </c>
      <c r="I1224" t="s">
        <v>942</v>
      </c>
      <c r="J1224">
        <v>9</v>
      </c>
      <c r="K1224" t="s">
        <v>947</v>
      </c>
    </row>
    <row r="1225" spans="1:11" x14ac:dyDescent="0.25">
      <c r="A1225" t="s">
        <v>413</v>
      </c>
      <c r="B1225" t="s">
        <v>936</v>
      </c>
      <c r="C1225" s="3">
        <v>2909</v>
      </c>
      <c r="D1225" s="3">
        <v>-1767</v>
      </c>
      <c r="E1225" s="3">
        <v>6449</v>
      </c>
      <c r="F1225">
        <v>3595</v>
      </c>
      <c r="G1225">
        <v>1081</v>
      </c>
      <c r="H1225">
        <v>10</v>
      </c>
      <c r="I1225" t="s">
        <v>939</v>
      </c>
      <c r="J1225">
        <v>10</v>
      </c>
      <c r="K1225" t="s">
        <v>952</v>
      </c>
    </row>
    <row r="1226" spans="1:11" x14ac:dyDescent="0.25">
      <c r="A1226" t="s">
        <v>503</v>
      </c>
      <c r="B1226" t="s">
        <v>934</v>
      </c>
      <c r="C1226" s="3">
        <v>2400</v>
      </c>
      <c r="D1226" s="3">
        <v>-926</v>
      </c>
      <c r="E1226" s="3">
        <v>5890</v>
      </c>
      <c r="F1226">
        <v>1448</v>
      </c>
      <c r="G1226">
        <v>1878</v>
      </c>
      <c r="H1226">
        <v>95</v>
      </c>
      <c r="I1226" t="s">
        <v>938</v>
      </c>
      <c r="J1226">
        <v>3</v>
      </c>
      <c r="K1226" t="s">
        <v>952</v>
      </c>
    </row>
    <row r="1227" spans="1:11" x14ac:dyDescent="0.25">
      <c r="A1227" t="s">
        <v>79</v>
      </c>
      <c r="B1227" t="s">
        <v>935</v>
      </c>
      <c r="C1227" s="3">
        <v>2521</v>
      </c>
      <c r="D1227" s="3">
        <v>-591</v>
      </c>
      <c r="E1227" s="3">
        <v>5336</v>
      </c>
      <c r="F1227">
        <v>1158</v>
      </c>
      <c r="G1227">
        <v>1954</v>
      </c>
      <c r="H1227">
        <v>102</v>
      </c>
      <c r="I1227" t="s">
        <v>938</v>
      </c>
      <c r="J1227">
        <v>9</v>
      </c>
      <c r="K1227" t="s">
        <v>953</v>
      </c>
    </row>
    <row r="1228" spans="1:11" x14ac:dyDescent="0.25">
      <c r="A1228" t="s">
        <v>838</v>
      </c>
      <c r="B1228" t="s">
        <v>934</v>
      </c>
      <c r="C1228" s="3">
        <v>10234</v>
      </c>
      <c r="D1228" s="3">
        <v>7258</v>
      </c>
      <c r="E1228" s="3">
        <v>9179</v>
      </c>
      <c r="F1228">
        <v>1916</v>
      </c>
      <c r="G1228">
        <v>1060</v>
      </c>
      <c r="H1228">
        <v>58</v>
      </c>
      <c r="I1228" t="s">
        <v>939</v>
      </c>
      <c r="J1228">
        <v>7</v>
      </c>
      <c r="K1228" t="s">
        <v>949</v>
      </c>
    </row>
    <row r="1229" spans="1:11" x14ac:dyDescent="0.25">
      <c r="A1229" t="s">
        <v>839</v>
      </c>
      <c r="B1229" t="s">
        <v>934</v>
      </c>
      <c r="C1229" s="3">
        <v>6437</v>
      </c>
      <c r="D1229" s="3">
        <v>180</v>
      </c>
      <c r="E1229" s="3">
        <v>5964</v>
      </c>
      <c r="F1229">
        <v>4657</v>
      </c>
      <c r="G1229">
        <v>1600</v>
      </c>
      <c r="H1229">
        <v>112</v>
      </c>
      <c r="I1229" t="s">
        <v>940</v>
      </c>
      <c r="J1229">
        <v>9</v>
      </c>
      <c r="K1229" t="s">
        <v>950</v>
      </c>
    </row>
    <row r="1230" spans="1:11" x14ac:dyDescent="0.25">
      <c r="A1230" t="s">
        <v>840</v>
      </c>
      <c r="B1230" t="s">
        <v>936</v>
      </c>
      <c r="C1230" s="3">
        <v>10539</v>
      </c>
      <c r="D1230" s="3">
        <v>7957</v>
      </c>
      <c r="E1230" s="3">
        <v>5704</v>
      </c>
      <c r="F1230">
        <v>1833</v>
      </c>
      <c r="G1230">
        <v>749</v>
      </c>
      <c r="H1230">
        <v>56</v>
      </c>
      <c r="I1230" t="s">
        <v>941</v>
      </c>
      <c r="J1230">
        <v>6</v>
      </c>
      <c r="K1230" t="s">
        <v>948</v>
      </c>
    </row>
    <row r="1231" spans="1:11" x14ac:dyDescent="0.25">
      <c r="A1231" t="s">
        <v>841</v>
      </c>
      <c r="B1231" t="s">
        <v>936</v>
      </c>
      <c r="C1231" s="3">
        <v>3763</v>
      </c>
      <c r="D1231" s="3">
        <v>-783</v>
      </c>
      <c r="E1231" s="3">
        <v>6738</v>
      </c>
      <c r="F1231">
        <v>2765</v>
      </c>
      <c r="G1231">
        <v>1781</v>
      </c>
      <c r="H1231">
        <v>90</v>
      </c>
      <c r="I1231" t="s">
        <v>938</v>
      </c>
      <c r="J1231">
        <v>7</v>
      </c>
      <c r="K1231" t="s">
        <v>951</v>
      </c>
    </row>
    <row r="1232" spans="1:11" x14ac:dyDescent="0.25">
      <c r="A1232" t="s">
        <v>820</v>
      </c>
      <c r="B1232" t="s">
        <v>936</v>
      </c>
      <c r="C1232" s="3">
        <v>5852</v>
      </c>
      <c r="D1232" s="3">
        <v>2924</v>
      </c>
      <c r="E1232" s="3">
        <v>5245</v>
      </c>
      <c r="F1232">
        <v>2559</v>
      </c>
      <c r="G1232">
        <v>369</v>
      </c>
      <c r="H1232">
        <v>60</v>
      </c>
      <c r="I1232" t="s">
        <v>939</v>
      </c>
      <c r="J1232">
        <v>7</v>
      </c>
      <c r="K1232" t="s">
        <v>951</v>
      </c>
    </row>
    <row r="1233" spans="1:11" x14ac:dyDescent="0.25">
      <c r="A1233" t="s">
        <v>165</v>
      </c>
      <c r="B1233" t="s">
        <v>936</v>
      </c>
      <c r="C1233" s="3">
        <v>8765</v>
      </c>
      <c r="D1233" s="3">
        <v>4414</v>
      </c>
      <c r="E1233" s="3">
        <v>7968</v>
      </c>
      <c r="F1233">
        <v>3118</v>
      </c>
      <c r="G1233">
        <v>1233</v>
      </c>
      <c r="H1233">
        <v>27</v>
      </c>
      <c r="I1233" t="s">
        <v>939</v>
      </c>
      <c r="J1233">
        <v>4</v>
      </c>
      <c r="K1233" t="s">
        <v>943</v>
      </c>
    </row>
    <row r="1234" spans="1:11" x14ac:dyDescent="0.25">
      <c r="A1234" t="s">
        <v>842</v>
      </c>
      <c r="B1234" t="s">
        <v>934</v>
      </c>
      <c r="C1234" s="3">
        <v>7534</v>
      </c>
      <c r="D1234" s="3">
        <v>3433</v>
      </c>
      <c r="E1234" s="3">
        <v>5837</v>
      </c>
      <c r="F1234">
        <v>2869</v>
      </c>
      <c r="G1234">
        <v>1232</v>
      </c>
      <c r="H1234">
        <v>10</v>
      </c>
      <c r="I1234" t="s">
        <v>938</v>
      </c>
      <c r="J1234">
        <v>8</v>
      </c>
      <c r="K1234" t="s">
        <v>954</v>
      </c>
    </row>
    <row r="1235" spans="1:11" x14ac:dyDescent="0.25">
      <c r="A1235" t="s">
        <v>394</v>
      </c>
      <c r="B1235" t="s">
        <v>935</v>
      </c>
      <c r="C1235" s="3">
        <v>9624</v>
      </c>
      <c r="D1235" s="3">
        <v>6167</v>
      </c>
      <c r="E1235" s="3">
        <v>8839</v>
      </c>
      <c r="F1235">
        <v>2653</v>
      </c>
      <c r="G1235">
        <v>804</v>
      </c>
      <c r="H1235">
        <v>84</v>
      </c>
      <c r="I1235" t="s">
        <v>942</v>
      </c>
      <c r="J1235">
        <v>6</v>
      </c>
      <c r="K1235" t="s">
        <v>953</v>
      </c>
    </row>
    <row r="1236" spans="1:11" x14ac:dyDescent="0.25">
      <c r="A1236" t="s">
        <v>21</v>
      </c>
      <c r="B1236" t="s">
        <v>937</v>
      </c>
      <c r="C1236" s="3">
        <v>5346</v>
      </c>
      <c r="D1236" s="3">
        <v>-1052</v>
      </c>
      <c r="E1236" s="3">
        <v>7058</v>
      </c>
      <c r="F1236">
        <v>4954</v>
      </c>
      <c r="G1236">
        <v>1444</v>
      </c>
      <c r="H1236">
        <v>116</v>
      </c>
      <c r="I1236" t="s">
        <v>940</v>
      </c>
      <c r="J1236">
        <v>6</v>
      </c>
      <c r="K1236" t="s">
        <v>951</v>
      </c>
    </row>
    <row r="1237" spans="1:11" x14ac:dyDescent="0.25">
      <c r="A1237" t="s">
        <v>389</v>
      </c>
      <c r="B1237" t="s">
        <v>936</v>
      </c>
      <c r="C1237" s="3">
        <v>9709</v>
      </c>
      <c r="D1237" s="3">
        <v>5191</v>
      </c>
      <c r="E1237" s="3">
        <v>9700</v>
      </c>
      <c r="F1237">
        <v>4212</v>
      </c>
      <c r="G1237">
        <v>306</v>
      </c>
      <c r="H1237">
        <v>39</v>
      </c>
      <c r="I1237" t="s">
        <v>938</v>
      </c>
      <c r="J1237">
        <v>3</v>
      </c>
      <c r="K1237" t="s">
        <v>946</v>
      </c>
    </row>
    <row r="1238" spans="1:11" x14ac:dyDescent="0.25">
      <c r="A1238" t="s">
        <v>557</v>
      </c>
      <c r="B1238" t="s">
        <v>936</v>
      </c>
      <c r="C1238" s="3">
        <v>3017</v>
      </c>
      <c r="D1238" s="3">
        <v>-2809</v>
      </c>
      <c r="E1238" s="3">
        <v>9762</v>
      </c>
      <c r="F1238">
        <v>4503</v>
      </c>
      <c r="G1238">
        <v>1323</v>
      </c>
      <c r="H1238">
        <v>77</v>
      </c>
      <c r="I1238" t="s">
        <v>942</v>
      </c>
      <c r="J1238">
        <v>2</v>
      </c>
      <c r="K1238" t="s">
        <v>954</v>
      </c>
    </row>
    <row r="1239" spans="1:11" x14ac:dyDescent="0.25">
      <c r="A1239" t="s">
        <v>699</v>
      </c>
      <c r="B1239" t="s">
        <v>935</v>
      </c>
      <c r="C1239" s="3">
        <v>8820</v>
      </c>
      <c r="D1239" s="3">
        <v>4885</v>
      </c>
      <c r="E1239" s="3">
        <v>4214</v>
      </c>
      <c r="F1239">
        <v>3349</v>
      </c>
      <c r="G1239">
        <v>586</v>
      </c>
      <c r="H1239">
        <v>41</v>
      </c>
      <c r="I1239" t="s">
        <v>938</v>
      </c>
      <c r="J1239">
        <v>5</v>
      </c>
      <c r="K1239" t="s">
        <v>951</v>
      </c>
    </row>
    <row r="1240" spans="1:11" x14ac:dyDescent="0.25">
      <c r="A1240" t="s">
        <v>158</v>
      </c>
      <c r="B1240" t="s">
        <v>937</v>
      </c>
      <c r="C1240" s="3">
        <v>7405</v>
      </c>
      <c r="D1240" s="3">
        <v>1884</v>
      </c>
      <c r="E1240" s="3">
        <v>8192</v>
      </c>
      <c r="F1240">
        <v>4451</v>
      </c>
      <c r="G1240">
        <v>1070</v>
      </c>
      <c r="H1240">
        <v>49</v>
      </c>
      <c r="I1240" t="s">
        <v>942</v>
      </c>
      <c r="J1240">
        <v>10</v>
      </c>
      <c r="K1240" t="s">
        <v>953</v>
      </c>
    </row>
    <row r="1241" spans="1:11" x14ac:dyDescent="0.25">
      <c r="A1241" t="s">
        <v>606</v>
      </c>
      <c r="B1241" t="s">
        <v>934</v>
      </c>
      <c r="C1241" s="3">
        <v>10932</v>
      </c>
      <c r="D1241" s="3">
        <v>7409</v>
      </c>
      <c r="E1241" s="3">
        <v>5238</v>
      </c>
      <c r="F1241">
        <v>1632</v>
      </c>
      <c r="G1241">
        <v>1891</v>
      </c>
      <c r="H1241">
        <v>45</v>
      </c>
      <c r="I1241" t="s">
        <v>942</v>
      </c>
      <c r="J1241">
        <v>6</v>
      </c>
      <c r="K1241" t="s">
        <v>946</v>
      </c>
    </row>
    <row r="1242" spans="1:11" x14ac:dyDescent="0.25">
      <c r="A1242" t="s">
        <v>843</v>
      </c>
      <c r="B1242" t="s">
        <v>935</v>
      </c>
      <c r="C1242" s="3">
        <v>5786</v>
      </c>
      <c r="D1242" s="3">
        <v>72</v>
      </c>
      <c r="E1242" s="3">
        <v>8448</v>
      </c>
      <c r="F1242">
        <v>4565</v>
      </c>
      <c r="G1242">
        <v>1149</v>
      </c>
      <c r="H1242">
        <v>104</v>
      </c>
      <c r="I1242" t="s">
        <v>941</v>
      </c>
      <c r="J1242">
        <v>6</v>
      </c>
      <c r="K1242" t="s">
        <v>946</v>
      </c>
    </row>
    <row r="1243" spans="1:11" x14ac:dyDescent="0.25">
      <c r="A1243" t="s">
        <v>236</v>
      </c>
      <c r="B1243" t="s">
        <v>936</v>
      </c>
      <c r="C1243" s="3">
        <v>4077</v>
      </c>
      <c r="D1243" s="3">
        <v>2026</v>
      </c>
      <c r="E1243" s="3">
        <v>6044</v>
      </c>
      <c r="F1243">
        <v>1754</v>
      </c>
      <c r="G1243">
        <v>297</v>
      </c>
      <c r="H1243">
        <v>80</v>
      </c>
      <c r="I1243" t="s">
        <v>942</v>
      </c>
      <c r="J1243">
        <v>6</v>
      </c>
      <c r="K1243" t="s">
        <v>951</v>
      </c>
    </row>
    <row r="1244" spans="1:11" x14ac:dyDescent="0.25">
      <c r="A1244" t="s">
        <v>844</v>
      </c>
      <c r="B1244" t="s">
        <v>937</v>
      </c>
      <c r="C1244" s="3">
        <v>11113</v>
      </c>
      <c r="D1244" s="3">
        <v>5020</v>
      </c>
      <c r="E1244" s="3">
        <v>6140</v>
      </c>
      <c r="F1244">
        <v>4214</v>
      </c>
      <c r="G1244">
        <v>1879</v>
      </c>
      <c r="H1244">
        <v>40</v>
      </c>
      <c r="I1244" t="s">
        <v>938</v>
      </c>
      <c r="J1244">
        <v>7</v>
      </c>
      <c r="K1244" t="s">
        <v>952</v>
      </c>
    </row>
    <row r="1245" spans="1:11" x14ac:dyDescent="0.25">
      <c r="A1245" t="s">
        <v>845</v>
      </c>
      <c r="B1245" t="s">
        <v>937</v>
      </c>
      <c r="C1245" s="3">
        <v>4099</v>
      </c>
      <c r="D1245" s="3">
        <v>2278</v>
      </c>
      <c r="E1245" s="3">
        <v>6778</v>
      </c>
      <c r="F1245">
        <v>1476</v>
      </c>
      <c r="G1245">
        <v>345</v>
      </c>
      <c r="H1245">
        <v>33</v>
      </c>
      <c r="I1245" t="s">
        <v>938</v>
      </c>
      <c r="J1245">
        <v>6</v>
      </c>
      <c r="K1245" t="s">
        <v>954</v>
      </c>
    </row>
    <row r="1246" spans="1:11" x14ac:dyDescent="0.25">
      <c r="A1246" t="s">
        <v>488</v>
      </c>
      <c r="B1246" t="s">
        <v>934</v>
      </c>
      <c r="C1246" s="3">
        <v>7582</v>
      </c>
      <c r="D1246" s="3">
        <v>3046</v>
      </c>
      <c r="E1246" s="3">
        <v>5420</v>
      </c>
      <c r="F1246">
        <v>4083</v>
      </c>
      <c r="G1246">
        <v>453</v>
      </c>
      <c r="H1246">
        <v>96</v>
      </c>
      <c r="I1246" t="s">
        <v>942</v>
      </c>
      <c r="J1246">
        <v>5</v>
      </c>
      <c r="K1246" t="s">
        <v>950</v>
      </c>
    </row>
    <row r="1247" spans="1:11" x14ac:dyDescent="0.25">
      <c r="A1247" t="s">
        <v>846</v>
      </c>
      <c r="B1247" t="s">
        <v>937</v>
      </c>
      <c r="C1247" s="3">
        <v>5034</v>
      </c>
      <c r="D1247" s="3">
        <v>1007</v>
      </c>
      <c r="E1247" s="3">
        <v>7263</v>
      </c>
      <c r="F1247">
        <v>2901</v>
      </c>
      <c r="G1247">
        <v>1126</v>
      </c>
      <c r="H1247">
        <v>63</v>
      </c>
      <c r="I1247" t="s">
        <v>941</v>
      </c>
      <c r="J1247">
        <v>1</v>
      </c>
      <c r="K1247" t="s">
        <v>952</v>
      </c>
    </row>
    <row r="1248" spans="1:11" x14ac:dyDescent="0.25">
      <c r="A1248" t="s">
        <v>733</v>
      </c>
      <c r="B1248" t="s">
        <v>934</v>
      </c>
      <c r="C1248" s="3">
        <v>3205</v>
      </c>
      <c r="D1248" s="3">
        <v>-2493</v>
      </c>
      <c r="E1248" s="3">
        <v>9100</v>
      </c>
      <c r="F1248">
        <v>4516</v>
      </c>
      <c r="G1248">
        <v>1182</v>
      </c>
      <c r="H1248">
        <v>30</v>
      </c>
      <c r="I1248" t="s">
        <v>938</v>
      </c>
      <c r="J1248">
        <v>8</v>
      </c>
      <c r="K1248" t="s">
        <v>951</v>
      </c>
    </row>
    <row r="1249" spans="1:11" x14ac:dyDescent="0.25">
      <c r="A1249" t="s">
        <v>233</v>
      </c>
      <c r="B1249" t="s">
        <v>937</v>
      </c>
      <c r="C1249" s="3">
        <v>9597</v>
      </c>
      <c r="D1249" s="3">
        <v>4937</v>
      </c>
      <c r="E1249" s="3">
        <v>4198</v>
      </c>
      <c r="F1249">
        <v>4337</v>
      </c>
      <c r="G1249">
        <v>323</v>
      </c>
      <c r="H1249">
        <v>27</v>
      </c>
      <c r="I1249" t="s">
        <v>941</v>
      </c>
      <c r="J1249">
        <v>5</v>
      </c>
      <c r="K1249" t="s">
        <v>951</v>
      </c>
    </row>
    <row r="1250" spans="1:11" x14ac:dyDescent="0.25">
      <c r="A1250" t="s">
        <v>12</v>
      </c>
      <c r="B1250" t="s">
        <v>936</v>
      </c>
      <c r="C1250" s="3">
        <v>8884</v>
      </c>
      <c r="D1250" s="3">
        <v>6120</v>
      </c>
      <c r="E1250" s="3">
        <v>8550</v>
      </c>
      <c r="F1250">
        <v>1028</v>
      </c>
      <c r="G1250">
        <v>1736</v>
      </c>
      <c r="H1250">
        <v>59</v>
      </c>
      <c r="I1250" t="s">
        <v>941</v>
      </c>
      <c r="J1250">
        <v>8</v>
      </c>
      <c r="K1250" t="s">
        <v>944</v>
      </c>
    </row>
    <row r="1251" spans="1:11" x14ac:dyDescent="0.25">
      <c r="A1251" t="s">
        <v>847</v>
      </c>
      <c r="B1251" t="s">
        <v>935</v>
      </c>
      <c r="C1251" s="3">
        <v>7899</v>
      </c>
      <c r="D1251" s="3">
        <v>5151</v>
      </c>
      <c r="E1251" s="3">
        <v>7406</v>
      </c>
      <c r="F1251">
        <v>1809</v>
      </c>
      <c r="G1251">
        <v>939</v>
      </c>
      <c r="H1251">
        <v>50</v>
      </c>
      <c r="I1251" t="s">
        <v>941</v>
      </c>
      <c r="J1251">
        <v>3</v>
      </c>
      <c r="K1251" t="s">
        <v>943</v>
      </c>
    </row>
    <row r="1252" spans="1:11" x14ac:dyDescent="0.25">
      <c r="A1252" t="s">
        <v>848</v>
      </c>
      <c r="B1252" t="s">
        <v>935</v>
      </c>
      <c r="C1252" s="3">
        <v>5609</v>
      </c>
      <c r="D1252" s="3">
        <v>3361</v>
      </c>
      <c r="E1252" s="3">
        <v>6691</v>
      </c>
      <c r="F1252">
        <v>1226</v>
      </c>
      <c r="G1252">
        <v>1022</v>
      </c>
      <c r="H1252">
        <v>82</v>
      </c>
      <c r="I1252" t="s">
        <v>938</v>
      </c>
      <c r="J1252">
        <v>9</v>
      </c>
      <c r="K1252" t="s">
        <v>947</v>
      </c>
    </row>
    <row r="1253" spans="1:11" x14ac:dyDescent="0.25">
      <c r="A1253" t="s">
        <v>849</v>
      </c>
      <c r="B1253" t="s">
        <v>936</v>
      </c>
      <c r="C1253" s="3">
        <v>5568</v>
      </c>
      <c r="D1253" s="3">
        <v>-356</v>
      </c>
      <c r="E1253" s="3">
        <v>4926</v>
      </c>
      <c r="F1253">
        <v>4747</v>
      </c>
      <c r="G1253">
        <v>1177</v>
      </c>
      <c r="H1253">
        <v>67</v>
      </c>
      <c r="I1253" t="s">
        <v>938</v>
      </c>
      <c r="J1253">
        <v>3</v>
      </c>
      <c r="K1253" t="s">
        <v>950</v>
      </c>
    </row>
    <row r="1254" spans="1:11" x14ac:dyDescent="0.25">
      <c r="A1254" t="s">
        <v>850</v>
      </c>
      <c r="B1254" t="s">
        <v>935</v>
      </c>
      <c r="C1254" s="3">
        <v>5635</v>
      </c>
      <c r="D1254" s="3">
        <v>2271</v>
      </c>
      <c r="E1254" s="3">
        <v>7395</v>
      </c>
      <c r="F1254">
        <v>3122</v>
      </c>
      <c r="G1254">
        <v>242</v>
      </c>
      <c r="H1254">
        <v>32</v>
      </c>
      <c r="I1254" t="s">
        <v>938</v>
      </c>
      <c r="J1254">
        <v>1</v>
      </c>
      <c r="K1254" t="s">
        <v>951</v>
      </c>
    </row>
    <row r="1255" spans="1:11" x14ac:dyDescent="0.25">
      <c r="A1255" t="s">
        <v>851</v>
      </c>
      <c r="B1255" t="s">
        <v>936</v>
      </c>
      <c r="C1255" s="3">
        <v>8681</v>
      </c>
      <c r="D1255" s="3">
        <v>4530</v>
      </c>
      <c r="E1255" s="3">
        <v>4532</v>
      </c>
      <c r="F1255">
        <v>3523</v>
      </c>
      <c r="G1255">
        <v>628</v>
      </c>
      <c r="H1255">
        <v>115</v>
      </c>
      <c r="I1255" t="s">
        <v>938</v>
      </c>
      <c r="J1255">
        <v>1</v>
      </c>
      <c r="K1255" t="s">
        <v>945</v>
      </c>
    </row>
    <row r="1256" spans="1:11" x14ac:dyDescent="0.25">
      <c r="A1256" t="s">
        <v>767</v>
      </c>
      <c r="B1256" t="s">
        <v>936</v>
      </c>
      <c r="C1256" s="3">
        <v>11803</v>
      </c>
      <c r="D1256" s="3">
        <v>8910</v>
      </c>
      <c r="E1256" s="3">
        <v>4383</v>
      </c>
      <c r="F1256">
        <v>1339</v>
      </c>
      <c r="G1256">
        <v>1554</v>
      </c>
      <c r="H1256">
        <v>18</v>
      </c>
      <c r="I1256" t="s">
        <v>942</v>
      </c>
      <c r="J1256">
        <v>1</v>
      </c>
      <c r="K1256" t="s">
        <v>947</v>
      </c>
    </row>
    <row r="1257" spans="1:11" x14ac:dyDescent="0.25">
      <c r="A1257" t="s">
        <v>852</v>
      </c>
      <c r="B1257" t="s">
        <v>936</v>
      </c>
      <c r="C1257" s="3">
        <v>5187</v>
      </c>
      <c r="D1257" s="3">
        <v>1379</v>
      </c>
      <c r="E1257" s="3">
        <v>5875</v>
      </c>
      <c r="F1257">
        <v>2840</v>
      </c>
      <c r="G1257">
        <v>968</v>
      </c>
      <c r="H1257">
        <v>50</v>
      </c>
      <c r="I1257" t="s">
        <v>939</v>
      </c>
      <c r="J1257">
        <v>9</v>
      </c>
      <c r="K1257" t="s">
        <v>948</v>
      </c>
    </row>
    <row r="1258" spans="1:11" x14ac:dyDescent="0.25">
      <c r="A1258" t="s">
        <v>187</v>
      </c>
      <c r="B1258" t="s">
        <v>935</v>
      </c>
      <c r="C1258" s="3">
        <v>2504</v>
      </c>
      <c r="D1258" s="3">
        <v>-2362</v>
      </c>
      <c r="E1258" s="3">
        <v>6222</v>
      </c>
      <c r="F1258">
        <v>4070</v>
      </c>
      <c r="G1258">
        <v>796</v>
      </c>
      <c r="H1258">
        <v>65</v>
      </c>
      <c r="I1258" t="s">
        <v>940</v>
      </c>
      <c r="J1258">
        <v>4</v>
      </c>
      <c r="K1258" t="s">
        <v>948</v>
      </c>
    </row>
    <row r="1259" spans="1:11" x14ac:dyDescent="0.25">
      <c r="A1259" t="s">
        <v>565</v>
      </c>
      <c r="B1259" t="s">
        <v>936</v>
      </c>
      <c r="C1259" s="3">
        <v>9854</v>
      </c>
      <c r="D1259" s="3">
        <v>8574</v>
      </c>
      <c r="E1259" s="3">
        <v>9775</v>
      </c>
      <c r="F1259">
        <v>1020</v>
      </c>
      <c r="G1259">
        <v>260</v>
      </c>
      <c r="H1259">
        <v>97</v>
      </c>
      <c r="I1259" t="s">
        <v>942</v>
      </c>
      <c r="J1259">
        <v>6</v>
      </c>
      <c r="K1259" t="s">
        <v>953</v>
      </c>
    </row>
    <row r="1260" spans="1:11" x14ac:dyDescent="0.25">
      <c r="A1260" t="s">
        <v>721</v>
      </c>
      <c r="B1260" t="s">
        <v>935</v>
      </c>
      <c r="C1260" s="3">
        <v>4458</v>
      </c>
      <c r="D1260" s="3">
        <v>752</v>
      </c>
      <c r="E1260" s="3">
        <v>8275</v>
      </c>
      <c r="F1260">
        <v>2211</v>
      </c>
      <c r="G1260">
        <v>1495</v>
      </c>
      <c r="H1260">
        <v>68</v>
      </c>
      <c r="I1260" t="s">
        <v>942</v>
      </c>
      <c r="J1260">
        <v>9</v>
      </c>
      <c r="K1260" t="s">
        <v>947</v>
      </c>
    </row>
    <row r="1261" spans="1:11" x14ac:dyDescent="0.25">
      <c r="A1261" t="s">
        <v>811</v>
      </c>
      <c r="B1261" t="s">
        <v>937</v>
      </c>
      <c r="C1261" s="3">
        <v>5532</v>
      </c>
      <c r="D1261" s="3">
        <v>2469</v>
      </c>
      <c r="E1261" s="3">
        <v>7049</v>
      </c>
      <c r="F1261">
        <v>2599</v>
      </c>
      <c r="G1261">
        <v>464</v>
      </c>
      <c r="H1261">
        <v>78</v>
      </c>
      <c r="I1261" t="s">
        <v>941</v>
      </c>
      <c r="J1261">
        <v>3</v>
      </c>
      <c r="K1261" t="s">
        <v>950</v>
      </c>
    </row>
    <row r="1262" spans="1:11" x14ac:dyDescent="0.25">
      <c r="A1262" t="s">
        <v>853</v>
      </c>
      <c r="B1262" t="s">
        <v>935</v>
      </c>
      <c r="C1262" s="3">
        <v>2150</v>
      </c>
      <c r="D1262" s="3">
        <v>-3558</v>
      </c>
      <c r="E1262" s="3">
        <v>7349</v>
      </c>
      <c r="F1262">
        <v>4750</v>
      </c>
      <c r="G1262">
        <v>958</v>
      </c>
      <c r="H1262">
        <v>12</v>
      </c>
      <c r="I1262" t="s">
        <v>938</v>
      </c>
      <c r="J1262">
        <v>9</v>
      </c>
      <c r="K1262" t="s">
        <v>952</v>
      </c>
    </row>
    <row r="1263" spans="1:11" x14ac:dyDescent="0.25">
      <c r="A1263" t="s">
        <v>681</v>
      </c>
      <c r="B1263" t="s">
        <v>935</v>
      </c>
      <c r="C1263" s="3">
        <v>9294</v>
      </c>
      <c r="D1263" s="3">
        <v>5981</v>
      </c>
      <c r="E1263" s="3">
        <v>4405</v>
      </c>
      <c r="F1263">
        <v>1497</v>
      </c>
      <c r="G1263">
        <v>1816</v>
      </c>
      <c r="H1263">
        <v>108</v>
      </c>
      <c r="I1263" t="s">
        <v>941</v>
      </c>
      <c r="J1263">
        <v>9</v>
      </c>
      <c r="K1263" t="s">
        <v>947</v>
      </c>
    </row>
    <row r="1264" spans="1:11" x14ac:dyDescent="0.25">
      <c r="A1264" t="s">
        <v>619</v>
      </c>
      <c r="B1264" t="s">
        <v>936</v>
      </c>
      <c r="C1264" s="3">
        <v>2749</v>
      </c>
      <c r="D1264" s="3">
        <v>-939</v>
      </c>
      <c r="E1264" s="3">
        <v>9451</v>
      </c>
      <c r="F1264">
        <v>2385</v>
      </c>
      <c r="G1264">
        <v>1303</v>
      </c>
      <c r="H1264">
        <v>71</v>
      </c>
      <c r="I1264" t="s">
        <v>941</v>
      </c>
      <c r="J1264">
        <v>10</v>
      </c>
      <c r="K1264" t="s">
        <v>952</v>
      </c>
    </row>
    <row r="1265" spans="1:11" x14ac:dyDescent="0.25">
      <c r="A1265" t="s">
        <v>125</v>
      </c>
      <c r="B1265" t="s">
        <v>936</v>
      </c>
      <c r="C1265" s="3">
        <v>8958</v>
      </c>
      <c r="D1265" s="3">
        <v>4434</v>
      </c>
      <c r="E1265" s="3">
        <v>6018</v>
      </c>
      <c r="F1265">
        <v>3391</v>
      </c>
      <c r="G1265">
        <v>1133</v>
      </c>
      <c r="H1265">
        <v>99</v>
      </c>
      <c r="I1265" t="s">
        <v>939</v>
      </c>
      <c r="J1265">
        <v>6</v>
      </c>
      <c r="K1265" t="s">
        <v>954</v>
      </c>
    </row>
    <row r="1266" spans="1:11" x14ac:dyDescent="0.25">
      <c r="A1266" t="s">
        <v>29</v>
      </c>
      <c r="B1266" t="s">
        <v>934</v>
      </c>
      <c r="C1266" s="3">
        <v>5532</v>
      </c>
      <c r="D1266" s="3">
        <v>3061</v>
      </c>
      <c r="E1266" s="3">
        <v>8565</v>
      </c>
      <c r="F1266">
        <v>1124</v>
      </c>
      <c r="G1266">
        <v>1347</v>
      </c>
      <c r="H1266">
        <v>91</v>
      </c>
      <c r="I1266" t="s">
        <v>941</v>
      </c>
      <c r="J1266">
        <v>7</v>
      </c>
      <c r="K1266" t="s">
        <v>945</v>
      </c>
    </row>
    <row r="1267" spans="1:11" x14ac:dyDescent="0.25">
      <c r="A1267" t="s">
        <v>854</v>
      </c>
      <c r="B1267" t="s">
        <v>934</v>
      </c>
      <c r="C1267" s="3">
        <v>5760</v>
      </c>
      <c r="D1267" s="3">
        <v>2620</v>
      </c>
      <c r="E1267" s="3">
        <v>4235</v>
      </c>
      <c r="F1267">
        <v>1294</v>
      </c>
      <c r="G1267">
        <v>1846</v>
      </c>
      <c r="H1267">
        <v>17</v>
      </c>
      <c r="I1267" t="s">
        <v>941</v>
      </c>
      <c r="J1267">
        <v>5</v>
      </c>
      <c r="K1267" t="s">
        <v>946</v>
      </c>
    </row>
    <row r="1268" spans="1:11" x14ac:dyDescent="0.25">
      <c r="A1268" t="s">
        <v>228</v>
      </c>
      <c r="B1268" t="s">
        <v>935</v>
      </c>
      <c r="C1268" s="3">
        <v>10229</v>
      </c>
      <c r="D1268" s="3">
        <v>7675</v>
      </c>
      <c r="E1268" s="3">
        <v>4353</v>
      </c>
      <c r="F1268">
        <v>1139</v>
      </c>
      <c r="G1268">
        <v>1415</v>
      </c>
      <c r="H1268">
        <v>85</v>
      </c>
      <c r="I1268" t="s">
        <v>938</v>
      </c>
      <c r="J1268">
        <v>10</v>
      </c>
      <c r="K1268" t="s">
        <v>945</v>
      </c>
    </row>
    <row r="1269" spans="1:11" x14ac:dyDescent="0.25">
      <c r="A1269" t="s">
        <v>855</v>
      </c>
      <c r="B1269" t="s">
        <v>936</v>
      </c>
      <c r="C1269" s="3">
        <v>8539</v>
      </c>
      <c r="D1269" s="3">
        <v>5462</v>
      </c>
      <c r="E1269" s="3">
        <v>8230</v>
      </c>
      <c r="F1269">
        <v>2034</v>
      </c>
      <c r="G1269">
        <v>1043</v>
      </c>
      <c r="H1269">
        <v>108</v>
      </c>
      <c r="I1269" t="s">
        <v>940</v>
      </c>
      <c r="J1269">
        <v>2</v>
      </c>
      <c r="K1269" t="s">
        <v>954</v>
      </c>
    </row>
    <row r="1270" spans="1:11" x14ac:dyDescent="0.25">
      <c r="A1270" t="s">
        <v>856</v>
      </c>
      <c r="B1270" t="s">
        <v>936</v>
      </c>
      <c r="C1270" s="3">
        <v>9381</v>
      </c>
      <c r="D1270" s="3">
        <v>6570</v>
      </c>
      <c r="E1270" s="3">
        <v>7660</v>
      </c>
      <c r="F1270">
        <v>1256</v>
      </c>
      <c r="G1270">
        <v>1555</v>
      </c>
      <c r="H1270">
        <v>23</v>
      </c>
      <c r="I1270" t="s">
        <v>940</v>
      </c>
      <c r="J1270">
        <v>9</v>
      </c>
      <c r="K1270" t="s">
        <v>946</v>
      </c>
    </row>
    <row r="1271" spans="1:11" x14ac:dyDescent="0.25">
      <c r="A1271" t="s">
        <v>694</v>
      </c>
      <c r="B1271" t="s">
        <v>935</v>
      </c>
      <c r="C1271" s="3">
        <v>11888</v>
      </c>
      <c r="D1271" s="3">
        <v>8581</v>
      </c>
      <c r="E1271" s="3">
        <v>6452</v>
      </c>
      <c r="F1271">
        <v>1866</v>
      </c>
      <c r="G1271">
        <v>1441</v>
      </c>
      <c r="H1271">
        <v>60</v>
      </c>
      <c r="I1271" t="s">
        <v>941</v>
      </c>
      <c r="J1271">
        <v>8</v>
      </c>
      <c r="K1271" t="s">
        <v>953</v>
      </c>
    </row>
    <row r="1272" spans="1:11" x14ac:dyDescent="0.25">
      <c r="A1272" t="s">
        <v>857</v>
      </c>
      <c r="B1272" t="s">
        <v>937</v>
      </c>
      <c r="C1272" s="3">
        <v>3571</v>
      </c>
      <c r="D1272" s="3">
        <v>2126</v>
      </c>
      <c r="E1272" s="3">
        <v>5998</v>
      </c>
      <c r="F1272">
        <v>941</v>
      </c>
      <c r="G1272">
        <v>504</v>
      </c>
      <c r="H1272">
        <v>116</v>
      </c>
      <c r="I1272" t="s">
        <v>938</v>
      </c>
      <c r="J1272">
        <v>7</v>
      </c>
      <c r="K1272" t="s">
        <v>944</v>
      </c>
    </row>
    <row r="1273" spans="1:11" x14ac:dyDescent="0.25">
      <c r="A1273" t="s">
        <v>215</v>
      </c>
      <c r="B1273" t="s">
        <v>934</v>
      </c>
      <c r="C1273" s="3">
        <v>9599</v>
      </c>
      <c r="D1273" s="3">
        <v>3787</v>
      </c>
      <c r="E1273" s="3">
        <v>4475</v>
      </c>
      <c r="F1273">
        <v>4773</v>
      </c>
      <c r="G1273">
        <v>1039</v>
      </c>
      <c r="H1273">
        <v>76</v>
      </c>
      <c r="I1273" t="s">
        <v>939</v>
      </c>
      <c r="J1273">
        <v>10</v>
      </c>
      <c r="K1273" t="s">
        <v>945</v>
      </c>
    </row>
    <row r="1274" spans="1:11" x14ac:dyDescent="0.25">
      <c r="A1274" t="s">
        <v>746</v>
      </c>
      <c r="B1274" t="s">
        <v>935</v>
      </c>
      <c r="C1274" s="3">
        <v>8881</v>
      </c>
      <c r="D1274" s="3">
        <v>6442</v>
      </c>
      <c r="E1274" s="3">
        <v>7762</v>
      </c>
      <c r="F1274">
        <v>899</v>
      </c>
      <c r="G1274">
        <v>1540</v>
      </c>
      <c r="H1274">
        <v>33</v>
      </c>
      <c r="I1274" t="s">
        <v>939</v>
      </c>
      <c r="J1274">
        <v>1</v>
      </c>
      <c r="K1274" t="s">
        <v>952</v>
      </c>
    </row>
    <row r="1275" spans="1:11" x14ac:dyDescent="0.25">
      <c r="A1275" t="s">
        <v>476</v>
      </c>
      <c r="B1275" t="s">
        <v>935</v>
      </c>
      <c r="C1275" s="3">
        <v>6580</v>
      </c>
      <c r="D1275" s="3">
        <v>3355</v>
      </c>
      <c r="E1275" s="3">
        <v>4644</v>
      </c>
      <c r="F1275">
        <v>2335</v>
      </c>
      <c r="G1275">
        <v>890</v>
      </c>
      <c r="H1275">
        <v>111</v>
      </c>
      <c r="I1275" t="s">
        <v>938</v>
      </c>
      <c r="J1275">
        <v>5</v>
      </c>
      <c r="K1275" t="s">
        <v>945</v>
      </c>
    </row>
    <row r="1276" spans="1:11" x14ac:dyDescent="0.25">
      <c r="A1276" t="s">
        <v>732</v>
      </c>
      <c r="B1276" t="s">
        <v>937</v>
      </c>
      <c r="C1276" s="3">
        <v>2132</v>
      </c>
      <c r="D1276" s="3">
        <v>-1306</v>
      </c>
      <c r="E1276" s="3">
        <v>7684</v>
      </c>
      <c r="F1276">
        <v>1659</v>
      </c>
      <c r="G1276">
        <v>1779</v>
      </c>
      <c r="H1276">
        <v>66</v>
      </c>
      <c r="I1276" t="s">
        <v>940</v>
      </c>
      <c r="J1276">
        <v>9</v>
      </c>
      <c r="K1276" t="s">
        <v>948</v>
      </c>
    </row>
    <row r="1277" spans="1:11" x14ac:dyDescent="0.25">
      <c r="A1277" t="s">
        <v>608</v>
      </c>
      <c r="B1277" t="s">
        <v>936</v>
      </c>
      <c r="C1277" s="3">
        <v>11475</v>
      </c>
      <c r="D1277" s="3">
        <v>9910</v>
      </c>
      <c r="E1277" s="3">
        <v>4605</v>
      </c>
      <c r="F1277">
        <v>836</v>
      </c>
      <c r="G1277">
        <v>729</v>
      </c>
      <c r="H1277">
        <v>92</v>
      </c>
      <c r="I1277" t="s">
        <v>941</v>
      </c>
      <c r="J1277">
        <v>6</v>
      </c>
      <c r="K1277" t="s">
        <v>954</v>
      </c>
    </row>
    <row r="1278" spans="1:11" x14ac:dyDescent="0.25">
      <c r="A1278" t="s">
        <v>858</v>
      </c>
      <c r="B1278" t="s">
        <v>936</v>
      </c>
      <c r="C1278" s="3">
        <v>10751</v>
      </c>
      <c r="D1278" s="3">
        <v>8980</v>
      </c>
      <c r="E1278" s="3">
        <v>7320</v>
      </c>
      <c r="F1278">
        <v>890</v>
      </c>
      <c r="G1278">
        <v>881</v>
      </c>
      <c r="H1278">
        <v>80</v>
      </c>
      <c r="I1278" t="s">
        <v>941</v>
      </c>
      <c r="J1278">
        <v>1</v>
      </c>
      <c r="K1278" t="s">
        <v>949</v>
      </c>
    </row>
    <row r="1279" spans="1:11" x14ac:dyDescent="0.25">
      <c r="A1279" t="s">
        <v>859</v>
      </c>
      <c r="B1279" t="s">
        <v>936</v>
      </c>
      <c r="C1279" s="3">
        <v>7308</v>
      </c>
      <c r="D1279" s="3">
        <v>3355</v>
      </c>
      <c r="E1279" s="3">
        <v>4796</v>
      </c>
      <c r="F1279">
        <v>3108</v>
      </c>
      <c r="G1279">
        <v>845</v>
      </c>
      <c r="H1279">
        <v>61</v>
      </c>
      <c r="I1279" t="s">
        <v>939</v>
      </c>
      <c r="J1279">
        <v>6</v>
      </c>
      <c r="K1279" t="s">
        <v>954</v>
      </c>
    </row>
    <row r="1280" spans="1:11" x14ac:dyDescent="0.25">
      <c r="A1280" t="s">
        <v>769</v>
      </c>
      <c r="B1280" t="s">
        <v>935</v>
      </c>
      <c r="C1280" s="3">
        <v>3133</v>
      </c>
      <c r="D1280" s="3">
        <v>-3032</v>
      </c>
      <c r="E1280" s="3">
        <v>7526</v>
      </c>
      <c r="F1280">
        <v>4173</v>
      </c>
      <c r="G1280">
        <v>1992</v>
      </c>
      <c r="H1280">
        <v>58</v>
      </c>
      <c r="I1280" t="s">
        <v>939</v>
      </c>
      <c r="J1280">
        <v>2</v>
      </c>
      <c r="K1280" t="s">
        <v>944</v>
      </c>
    </row>
    <row r="1281" spans="1:11" x14ac:dyDescent="0.25">
      <c r="A1281" t="s">
        <v>665</v>
      </c>
      <c r="B1281" t="s">
        <v>934</v>
      </c>
      <c r="C1281" s="3">
        <v>6465</v>
      </c>
      <c r="D1281" s="3">
        <v>3265</v>
      </c>
      <c r="E1281" s="3">
        <v>6956</v>
      </c>
      <c r="F1281">
        <v>2108</v>
      </c>
      <c r="G1281">
        <v>1092</v>
      </c>
      <c r="H1281">
        <v>17</v>
      </c>
      <c r="I1281" t="s">
        <v>938</v>
      </c>
      <c r="J1281">
        <v>1</v>
      </c>
      <c r="K1281" t="s">
        <v>945</v>
      </c>
    </row>
    <row r="1282" spans="1:11" x14ac:dyDescent="0.25">
      <c r="A1282" t="s">
        <v>860</v>
      </c>
      <c r="B1282" t="s">
        <v>936</v>
      </c>
      <c r="C1282" s="3">
        <v>7066</v>
      </c>
      <c r="D1282" s="3">
        <v>949</v>
      </c>
      <c r="E1282" s="3">
        <v>9025</v>
      </c>
      <c r="F1282">
        <v>4212</v>
      </c>
      <c r="G1282">
        <v>1905</v>
      </c>
      <c r="H1282">
        <v>26</v>
      </c>
      <c r="I1282" t="s">
        <v>940</v>
      </c>
      <c r="J1282">
        <v>2</v>
      </c>
      <c r="K1282" t="s">
        <v>947</v>
      </c>
    </row>
    <row r="1283" spans="1:11" x14ac:dyDescent="0.25">
      <c r="A1283" t="s">
        <v>37</v>
      </c>
      <c r="B1283" t="s">
        <v>936</v>
      </c>
      <c r="C1283" s="3">
        <v>3180</v>
      </c>
      <c r="D1283" s="3">
        <v>-40</v>
      </c>
      <c r="E1283" s="3">
        <v>4306</v>
      </c>
      <c r="F1283">
        <v>1955</v>
      </c>
      <c r="G1283">
        <v>1265</v>
      </c>
      <c r="H1283">
        <v>45</v>
      </c>
      <c r="I1283" t="s">
        <v>941</v>
      </c>
      <c r="J1283">
        <v>8</v>
      </c>
      <c r="K1283" t="s">
        <v>947</v>
      </c>
    </row>
    <row r="1284" spans="1:11" x14ac:dyDescent="0.25">
      <c r="A1284" t="s">
        <v>861</v>
      </c>
      <c r="B1284" t="s">
        <v>936</v>
      </c>
      <c r="C1284" s="3">
        <v>9496</v>
      </c>
      <c r="D1284" s="3">
        <v>6353</v>
      </c>
      <c r="E1284" s="3">
        <v>8932</v>
      </c>
      <c r="F1284">
        <v>1910</v>
      </c>
      <c r="G1284">
        <v>1233</v>
      </c>
      <c r="H1284">
        <v>28</v>
      </c>
      <c r="I1284" t="s">
        <v>942</v>
      </c>
      <c r="J1284">
        <v>3</v>
      </c>
      <c r="K1284" t="s">
        <v>949</v>
      </c>
    </row>
    <row r="1285" spans="1:11" x14ac:dyDescent="0.25">
      <c r="A1285" t="s">
        <v>483</v>
      </c>
      <c r="B1285" t="s">
        <v>935</v>
      </c>
      <c r="C1285" s="3">
        <v>2432</v>
      </c>
      <c r="D1285" s="3">
        <v>-1000</v>
      </c>
      <c r="E1285" s="3">
        <v>9232</v>
      </c>
      <c r="F1285">
        <v>1800</v>
      </c>
      <c r="G1285">
        <v>1632</v>
      </c>
      <c r="H1285">
        <v>116</v>
      </c>
      <c r="I1285" t="s">
        <v>940</v>
      </c>
      <c r="J1285">
        <v>3</v>
      </c>
      <c r="K1285" t="s">
        <v>943</v>
      </c>
    </row>
    <row r="1286" spans="1:11" x14ac:dyDescent="0.25">
      <c r="A1286" t="s">
        <v>90</v>
      </c>
      <c r="B1286" t="s">
        <v>937</v>
      </c>
      <c r="C1286" s="3">
        <v>6381</v>
      </c>
      <c r="D1286" s="3">
        <v>2259</v>
      </c>
      <c r="E1286" s="3">
        <v>7023</v>
      </c>
      <c r="F1286">
        <v>2838</v>
      </c>
      <c r="G1286">
        <v>1284</v>
      </c>
      <c r="H1286">
        <v>105</v>
      </c>
      <c r="I1286" t="s">
        <v>940</v>
      </c>
      <c r="J1286">
        <v>8</v>
      </c>
      <c r="K1286" t="s">
        <v>950</v>
      </c>
    </row>
    <row r="1287" spans="1:11" x14ac:dyDescent="0.25">
      <c r="A1287" t="s">
        <v>37</v>
      </c>
      <c r="B1287" t="s">
        <v>935</v>
      </c>
      <c r="C1287" s="3">
        <v>7969</v>
      </c>
      <c r="D1287" s="3">
        <v>2471</v>
      </c>
      <c r="E1287" s="3">
        <v>7817</v>
      </c>
      <c r="F1287">
        <v>4196</v>
      </c>
      <c r="G1287">
        <v>1302</v>
      </c>
      <c r="H1287">
        <v>108</v>
      </c>
      <c r="I1287" t="s">
        <v>938</v>
      </c>
      <c r="J1287">
        <v>6</v>
      </c>
      <c r="K1287" t="s">
        <v>947</v>
      </c>
    </row>
    <row r="1288" spans="1:11" x14ac:dyDescent="0.25">
      <c r="A1288" t="s">
        <v>862</v>
      </c>
      <c r="B1288" t="s">
        <v>935</v>
      </c>
      <c r="C1288" s="3">
        <v>4176</v>
      </c>
      <c r="D1288" s="3">
        <v>2591</v>
      </c>
      <c r="E1288" s="3">
        <v>5942</v>
      </c>
      <c r="F1288">
        <v>1081</v>
      </c>
      <c r="G1288">
        <v>504</v>
      </c>
      <c r="H1288">
        <v>117</v>
      </c>
      <c r="I1288" t="s">
        <v>940</v>
      </c>
      <c r="J1288">
        <v>2</v>
      </c>
      <c r="K1288" t="s">
        <v>953</v>
      </c>
    </row>
    <row r="1289" spans="1:11" x14ac:dyDescent="0.25">
      <c r="A1289" t="s">
        <v>863</v>
      </c>
      <c r="B1289" t="s">
        <v>934</v>
      </c>
      <c r="C1289" s="3">
        <v>4229</v>
      </c>
      <c r="D1289" s="3">
        <v>-778</v>
      </c>
      <c r="E1289" s="3">
        <v>7701</v>
      </c>
      <c r="F1289">
        <v>4181</v>
      </c>
      <c r="G1289">
        <v>826</v>
      </c>
      <c r="H1289">
        <v>21</v>
      </c>
      <c r="I1289" t="s">
        <v>942</v>
      </c>
      <c r="J1289">
        <v>5</v>
      </c>
      <c r="K1289" t="s">
        <v>946</v>
      </c>
    </row>
    <row r="1290" spans="1:11" x14ac:dyDescent="0.25">
      <c r="A1290" t="s">
        <v>864</v>
      </c>
      <c r="B1290" t="s">
        <v>937</v>
      </c>
      <c r="C1290" s="3">
        <v>4340</v>
      </c>
      <c r="D1290" s="3">
        <v>-911</v>
      </c>
      <c r="E1290" s="3">
        <v>8750</v>
      </c>
      <c r="F1290">
        <v>4365</v>
      </c>
      <c r="G1290">
        <v>886</v>
      </c>
      <c r="H1290">
        <v>52</v>
      </c>
      <c r="I1290" t="s">
        <v>938</v>
      </c>
      <c r="J1290">
        <v>9</v>
      </c>
      <c r="K1290" t="s">
        <v>946</v>
      </c>
    </row>
    <row r="1291" spans="1:11" x14ac:dyDescent="0.25">
      <c r="A1291" t="s">
        <v>744</v>
      </c>
      <c r="B1291" t="s">
        <v>934</v>
      </c>
      <c r="C1291" s="3">
        <v>11842</v>
      </c>
      <c r="D1291" s="3">
        <v>8636</v>
      </c>
      <c r="E1291" s="3">
        <v>4970</v>
      </c>
      <c r="F1291">
        <v>1808</v>
      </c>
      <c r="G1291">
        <v>1398</v>
      </c>
      <c r="H1291">
        <v>11</v>
      </c>
      <c r="I1291" t="s">
        <v>941</v>
      </c>
      <c r="J1291">
        <v>6</v>
      </c>
      <c r="K1291" t="s">
        <v>943</v>
      </c>
    </row>
    <row r="1292" spans="1:11" x14ac:dyDescent="0.25">
      <c r="A1292" t="s">
        <v>272</v>
      </c>
      <c r="B1292" t="s">
        <v>936</v>
      </c>
      <c r="C1292" s="3">
        <v>2065</v>
      </c>
      <c r="D1292" s="3">
        <v>-931</v>
      </c>
      <c r="E1292" s="3">
        <v>8137</v>
      </c>
      <c r="F1292">
        <v>2308</v>
      </c>
      <c r="G1292">
        <v>688</v>
      </c>
      <c r="H1292">
        <v>86</v>
      </c>
      <c r="I1292" t="s">
        <v>938</v>
      </c>
      <c r="J1292">
        <v>8</v>
      </c>
      <c r="K1292" t="s">
        <v>952</v>
      </c>
    </row>
    <row r="1293" spans="1:11" x14ac:dyDescent="0.25">
      <c r="A1293" t="s">
        <v>169</v>
      </c>
      <c r="B1293" t="s">
        <v>934</v>
      </c>
      <c r="C1293" s="3">
        <v>2720</v>
      </c>
      <c r="D1293" s="3">
        <v>-1648</v>
      </c>
      <c r="E1293" s="3">
        <v>7007</v>
      </c>
      <c r="F1293">
        <v>3220</v>
      </c>
      <c r="G1293">
        <v>1148</v>
      </c>
      <c r="H1293">
        <v>51</v>
      </c>
      <c r="I1293" t="s">
        <v>941</v>
      </c>
      <c r="J1293">
        <v>7</v>
      </c>
      <c r="K1293" t="s">
        <v>952</v>
      </c>
    </row>
    <row r="1294" spans="1:11" x14ac:dyDescent="0.25">
      <c r="A1294" t="s">
        <v>865</v>
      </c>
      <c r="B1294" t="s">
        <v>937</v>
      </c>
      <c r="C1294" s="3">
        <v>9565</v>
      </c>
      <c r="D1294" s="3">
        <v>4924</v>
      </c>
      <c r="E1294" s="3">
        <v>5050</v>
      </c>
      <c r="F1294">
        <v>3952</v>
      </c>
      <c r="G1294">
        <v>689</v>
      </c>
      <c r="H1294">
        <v>48</v>
      </c>
      <c r="I1294" t="s">
        <v>938</v>
      </c>
      <c r="J1294">
        <v>7</v>
      </c>
      <c r="K1294" t="s">
        <v>945</v>
      </c>
    </row>
    <row r="1295" spans="1:11" x14ac:dyDescent="0.25">
      <c r="A1295" t="s">
        <v>287</v>
      </c>
      <c r="B1295" t="s">
        <v>936</v>
      </c>
      <c r="C1295" s="3">
        <v>8508</v>
      </c>
      <c r="D1295" s="3">
        <v>3493</v>
      </c>
      <c r="E1295" s="3">
        <v>6742</v>
      </c>
      <c r="F1295">
        <v>3549</v>
      </c>
      <c r="G1295">
        <v>1466</v>
      </c>
      <c r="H1295">
        <v>71</v>
      </c>
      <c r="I1295" t="s">
        <v>940</v>
      </c>
      <c r="J1295">
        <v>3</v>
      </c>
      <c r="K1295" t="s">
        <v>952</v>
      </c>
    </row>
    <row r="1296" spans="1:11" x14ac:dyDescent="0.25">
      <c r="A1296" t="s">
        <v>866</v>
      </c>
      <c r="B1296" t="s">
        <v>935</v>
      </c>
      <c r="C1296" s="3">
        <v>10221</v>
      </c>
      <c r="D1296" s="3">
        <v>6166</v>
      </c>
      <c r="E1296" s="3">
        <v>8379</v>
      </c>
      <c r="F1296">
        <v>3551</v>
      </c>
      <c r="G1296">
        <v>504</v>
      </c>
      <c r="H1296">
        <v>21</v>
      </c>
      <c r="I1296" t="s">
        <v>940</v>
      </c>
      <c r="J1296">
        <v>6</v>
      </c>
      <c r="K1296" t="s">
        <v>950</v>
      </c>
    </row>
    <row r="1297" spans="1:11" x14ac:dyDescent="0.25">
      <c r="A1297" t="s">
        <v>119</v>
      </c>
      <c r="B1297" t="s">
        <v>934</v>
      </c>
      <c r="C1297" s="3">
        <v>3870</v>
      </c>
      <c r="D1297" s="3">
        <v>-2905</v>
      </c>
      <c r="E1297" s="3">
        <v>6624</v>
      </c>
      <c r="F1297">
        <v>4985</v>
      </c>
      <c r="G1297">
        <v>1790</v>
      </c>
      <c r="H1297">
        <v>103</v>
      </c>
      <c r="I1297" t="s">
        <v>941</v>
      </c>
      <c r="J1297">
        <v>3</v>
      </c>
      <c r="K1297" t="s">
        <v>946</v>
      </c>
    </row>
    <row r="1298" spans="1:11" x14ac:dyDescent="0.25">
      <c r="A1298" t="s">
        <v>15</v>
      </c>
      <c r="B1298" t="s">
        <v>937</v>
      </c>
      <c r="C1298" s="3">
        <v>8807</v>
      </c>
      <c r="D1298" s="3">
        <v>4013</v>
      </c>
      <c r="E1298" s="3">
        <v>6303</v>
      </c>
      <c r="F1298">
        <v>2971</v>
      </c>
      <c r="G1298">
        <v>1823</v>
      </c>
      <c r="H1298">
        <v>118</v>
      </c>
      <c r="I1298" t="s">
        <v>938</v>
      </c>
      <c r="J1298">
        <v>7</v>
      </c>
      <c r="K1298" t="s">
        <v>947</v>
      </c>
    </row>
    <row r="1299" spans="1:11" x14ac:dyDescent="0.25">
      <c r="A1299" t="s">
        <v>867</v>
      </c>
      <c r="B1299" t="s">
        <v>937</v>
      </c>
      <c r="C1299" s="3">
        <v>8585</v>
      </c>
      <c r="D1299" s="3">
        <v>5057</v>
      </c>
      <c r="E1299" s="3">
        <v>5333</v>
      </c>
      <c r="F1299">
        <v>2390</v>
      </c>
      <c r="G1299">
        <v>1138</v>
      </c>
      <c r="H1299">
        <v>59</v>
      </c>
      <c r="I1299" t="s">
        <v>938</v>
      </c>
      <c r="J1299">
        <v>10</v>
      </c>
      <c r="K1299" t="s">
        <v>952</v>
      </c>
    </row>
    <row r="1300" spans="1:11" x14ac:dyDescent="0.25">
      <c r="A1300" t="s">
        <v>868</v>
      </c>
      <c r="B1300" t="s">
        <v>936</v>
      </c>
      <c r="C1300" s="3">
        <v>6191</v>
      </c>
      <c r="D1300" s="3">
        <v>3946</v>
      </c>
      <c r="E1300" s="3">
        <v>5642</v>
      </c>
      <c r="F1300">
        <v>1740</v>
      </c>
      <c r="G1300">
        <v>505</v>
      </c>
      <c r="H1300">
        <v>51</v>
      </c>
      <c r="I1300" t="s">
        <v>939</v>
      </c>
      <c r="J1300">
        <v>6</v>
      </c>
      <c r="K1300" t="s">
        <v>948</v>
      </c>
    </row>
    <row r="1301" spans="1:11" x14ac:dyDescent="0.25">
      <c r="A1301" t="s">
        <v>168</v>
      </c>
      <c r="B1301" t="s">
        <v>937</v>
      </c>
      <c r="C1301" s="3">
        <v>7472</v>
      </c>
      <c r="D1301" s="3">
        <v>2829</v>
      </c>
      <c r="E1301" s="3">
        <v>4772</v>
      </c>
      <c r="F1301">
        <v>4223</v>
      </c>
      <c r="G1301">
        <v>420</v>
      </c>
      <c r="H1301">
        <v>72</v>
      </c>
      <c r="I1301" t="s">
        <v>940</v>
      </c>
      <c r="J1301">
        <v>5</v>
      </c>
      <c r="K1301" t="s">
        <v>944</v>
      </c>
    </row>
    <row r="1302" spans="1:11" x14ac:dyDescent="0.25">
      <c r="A1302" t="s">
        <v>471</v>
      </c>
      <c r="B1302" t="s">
        <v>937</v>
      </c>
      <c r="C1302" s="3">
        <v>11531</v>
      </c>
      <c r="D1302" s="3">
        <v>6454</v>
      </c>
      <c r="E1302" s="3">
        <v>8754</v>
      </c>
      <c r="F1302">
        <v>3637</v>
      </c>
      <c r="G1302">
        <v>1440</v>
      </c>
      <c r="H1302">
        <v>80</v>
      </c>
      <c r="I1302" t="s">
        <v>939</v>
      </c>
      <c r="J1302">
        <v>7</v>
      </c>
      <c r="K1302" t="s">
        <v>945</v>
      </c>
    </row>
    <row r="1303" spans="1:11" x14ac:dyDescent="0.25">
      <c r="A1303" t="s">
        <v>48</v>
      </c>
      <c r="B1303" t="s">
        <v>937</v>
      </c>
      <c r="C1303" s="3">
        <v>9014</v>
      </c>
      <c r="D1303" s="3">
        <v>3090</v>
      </c>
      <c r="E1303" s="3">
        <v>7781</v>
      </c>
      <c r="F1303">
        <v>4827</v>
      </c>
      <c r="G1303">
        <v>1097</v>
      </c>
      <c r="H1303">
        <v>81</v>
      </c>
      <c r="I1303" t="s">
        <v>941</v>
      </c>
      <c r="J1303">
        <v>4</v>
      </c>
      <c r="K1303" t="s">
        <v>953</v>
      </c>
    </row>
    <row r="1304" spans="1:11" x14ac:dyDescent="0.25">
      <c r="A1304" t="s">
        <v>601</v>
      </c>
      <c r="B1304" t="s">
        <v>937</v>
      </c>
      <c r="C1304" s="3">
        <v>7405</v>
      </c>
      <c r="D1304" s="3">
        <v>3021</v>
      </c>
      <c r="E1304" s="3">
        <v>9557</v>
      </c>
      <c r="F1304">
        <v>3652</v>
      </c>
      <c r="G1304">
        <v>732</v>
      </c>
      <c r="H1304">
        <v>16</v>
      </c>
      <c r="I1304" t="s">
        <v>942</v>
      </c>
      <c r="J1304">
        <v>4</v>
      </c>
      <c r="K1304" t="s">
        <v>944</v>
      </c>
    </row>
    <row r="1305" spans="1:11" x14ac:dyDescent="0.25">
      <c r="A1305" t="s">
        <v>376</v>
      </c>
      <c r="B1305" t="s">
        <v>936</v>
      </c>
      <c r="C1305" s="3">
        <v>2667</v>
      </c>
      <c r="D1305" s="3">
        <v>-1770</v>
      </c>
      <c r="E1305" s="3">
        <v>6068</v>
      </c>
      <c r="F1305">
        <v>3927</v>
      </c>
      <c r="G1305">
        <v>510</v>
      </c>
      <c r="H1305">
        <v>120</v>
      </c>
      <c r="I1305" t="s">
        <v>941</v>
      </c>
      <c r="J1305">
        <v>7</v>
      </c>
      <c r="K1305" t="s">
        <v>954</v>
      </c>
    </row>
    <row r="1306" spans="1:11" x14ac:dyDescent="0.25">
      <c r="A1306" t="s">
        <v>718</v>
      </c>
      <c r="B1306" t="s">
        <v>935</v>
      </c>
      <c r="C1306" s="3">
        <v>3598</v>
      </c>
      <c r="D1306" s="3">
        <v>524</v>
      </c>
      <c r="E1306" s="3">
        <v>4454</v>
      </c>
      <c r="F1306">
        <v>2395</v>
      </c>
      <c r="G1306">
        <v>679</v>
      </c>
      <c r="H1306">
        <v>45</v>
      </c>
      <c r="I1306" t="s">
        <v>942</v>
      </c>
      <c r="J1306">
        <v>5</v>
      </c>
      <c r="K1306" t="s">
        <v>944</v>
      </c>
    </row>
    <row r="1307" spans="1:11" x14ac:dyDescent="0.25">
      <c r="A1307" t="s">
        <v>758</v>
      </c>
      <c r="B1307" t="s">
        <v>936</v>
      </c>
      <c r="C1307" s="3">
        <v>4207</v>
      </c>
      <c r="D1307" s="3">
        <v>336</v>
      </c>
      <c r="E1307" s="3">
        <v>5434</v>
      </c>
      <c r="F1307">
        <v>3642</v>
      </c>
      <c r="G1307">
        <v>229</v>
      </c>
      <c r="H1307">
        <v>35</v>
      </c>
      <c r="I1307" t="s">
        <v>939</v>
      </c>
      <c r="J1307">
        <v>10</v>
      </c>
      <c r="K1307" t="s">
        <v>954</v>
      </c>
    </row>
    <row r="1308" spans="1:11" x14ac:dyDescent="0.25">
      <c r="A1308" t="s">
        <v>869</v>
      </c>
      <c r="B1308" t="s">
        <v>935</v>
      </c>
      <c r="C1308" s="3">
        <v>4263</v>
      </c>
      <c r="D1308" s="3">
        <v>667</v>
      </c>
      <c r="E1308" s="3">
        <v>4454</v>
      </c>
      <c r="F1308">
        <v>1638</v>
      </c>
      <c r="G1308">
        <v>1958</v>
      </c>
      <c r="H1308">
        <v>109</v>
      </c>
      <c r="I1308" t="s">
        <v>939</v>
      </c>
      <c r="J1308">
        <v>2</v>
      </c>
      <c r="K1308" t="s">
        <v>950</v>
      </c>
    </row>
    <row r="1309" spans="1:11" x14ac:dyDescent="0.25">
      <c r="A1309" t="s">
        <v>448</v>
      </c>
      <c r="B1309" t="s">
        <v>935</v>
      </c>
      <c r="C1309" s="3">
        <v>5395</v>
      </c>
      <c r="D1309" s="3">
        <v>1819</v>
      </c>
      <c r="E1309" s="3">
        <v>6188</v>
      </c>
      <c r="F1309">
        <v>1762</v>
      </c>
      <c r="G1309">
        <v>1814</v>
      </c>
      <c r="H1309">
        <v>55</v>
      </c>
      <c r="I1309" t="s">
        <v>940</v>
      </c>
      <c r="J1309">
        <v>1</v>
      </c>
      <c r="K1309" t="s">
        <v>948</v>
      </c>
    </row>
    <row r="1310" spans="1:11" x14ac:dyDescent="0.25">
      <c r="A1310" t="s">
        <v>313</v>
      </c>
      <c r="B1310" t="s">
        <v>937</v>
      </c>
      <c r="C1310" s="3">
        <v>10179</v>
      </c>
      <c r="D1310" s="3">
        <v>4737</v>
      </c>
      <c r="E1310" s="3">
        <v>4166</v>
      </c>
      <c r="F1310">
        <v>4108</v>
      </c>
      <c r="G1310">
        <v>1334</v>
      </c>
      <c r="H1310">
        <v>11</v>
      </c>
      <c r="I1310" t="s">
        <v>942</v>
      </c>
      <c r="J1310">
        <v>7</v>
      </c>
      <c r="K1310" t="s">
        <v>946</v>
      </c>
    </row>
    <row r="1311" spans="1:11" x14ac:dyDescent="0.25">
      <c r="A1311" t="s">
        <v>870</v>
      </c>
      <c r="B1311" t="s">
        <v>935</v>
      </c>
      <c r="C1311" s="3">
        <v>4010</v>
      </c>
      <c r="D1311" s="3">
        <v>-648</v>
      </c>
      <c r="E1311" s="3">
        <v>7812</v>
      </c>
      <c r="F1311">
        <v>4113</v>
      </c>
      <c r="G1311">
        <v>545</v>
      </c>
      <c r="H1311">
        <v>119</v>
      </c>
      <c r="I1311" t="s">
        <v>941</v>
      </c>
      <c r="J1311">
        <v>8</v>
      </c>
      <c r="K1311" t="s">
        <v>946</v>
      </c>
    </row>
    <row r="1312" spans="1:11" x14ac:dyDescent="0.25">
      <c r="A1312" t="s">
        <v>339</v>
      </c>
      <c r="B1312" t="s">
        <v>936</v>
      </c>
      <c r="C1312" s="3">
        <v>2199</v>
      </c>
      <c r="D1312" s="3">
        <v>-1270</v>
      </c>
      <c r="E1312" s="3">
        <v>4236</v>
      </c>
      <c r="F1312">
        <v>1656</v>
      </c>
      <c r="G1312">
        <v>1813</v>
      </c>
      <c r="H1312">
        <v>64</v>
      </c>
      <c r="I1312" t="s">
        <v>938</v>
      </c>
      <c r="J1312">
        <v>5</v>
      </c>
      <c r="K1312" t="s">
        <v>949</v>
      </c>
    </row>
    <row r="1313" spans="1:11" x14ac:dyDescent="0.25">
      <c r="A1313" t="s">
        <v>871</v>
      </c>
      <c r="B1313" t="s">
        <v>935</v>
      </c>
      <c r="C1313" s="3">
        <v>4697</v>
      </c>
      <c r="D1313" s="3">
        <v>2270</v>
      </c>
      <c r="E1313" s="3">
        <v>5521</v>
      </c>
      <c r="F1313">
        <v>1882</v>
      </c>
      <c r="G1313">
        <v>545</v>
      </c>
      <c r="H1313">
        <v>101</v>
      </c>
      <c r="I1313" t="s">
        <v>940</v>
      </c>
      <c r="J1313">
        <v>1</v>
      </c>
      <c r="K1313" t="s">
        <v>946</v>
      </c>
    </row>
    <row r="1314" spans="1:11" x14ac:dyDescent="0.25">
      <c r="A1314" t="s">
        <v>872</v>
      </c>
      <c r="B1314" t="s">
        <v>936</v>
      </c>
      <c r="C1314" s="3">
        <v>7326</v>
      </c>
      <c r="D1314" s="3">
        <v>2264</v>
      </c>
      <c r="E1314" s="3">
        <v>7600</v>
      </c>
      <c r="F1314">
        <v>3509</v>
      </c>
      <c r="G1314">
        <v>1553</v>
      </c>
      <c r="H1314">
        <v>106</v>
      </c>
      <c r="I1314" t="s">
        <v>941</v>
      </c>
      <c r="J1314">
        <v>4</v>
      </c>
      <c r="K1314" t="s">
        <v>949</v>
      </c>
    </row>
    <row r="1315" spans="1:11" x14ac:dyDescent="0.25">
      <c r="A1315" t="s">
        <v>873</v>
      </c>
      <c r="B1315" t="s">
        <v>936</v>
      </c>
      <c r="C1315" s="3">
        <v>7858</v>
      </c>
      <c r="D1315" s="3">
        <v>2319</v>
      </c>
      <c r="E1315" s="3">
        <v>7228</v>
      </c>
      <c r="F1315">
        <v>3632</v>
      </c>
      <c r="G1315">
        <v>1907</v>
      </c>
      <c r="H1315">
        <v>74</v>
      </c>
      <c r="I1315" t="s">
        <v>938</v>
      </c>
      <c r="J1315">
        <v>5</v>
      </c>
      <c r="K1315" t="s">
        <v>948</v>
      </c>
    </row>
    <row r="1316" spans="1:11" x14ac:dyDescent="0.25">
      <c r="A1316" t="s">
        <v>31</v>
      </c>
      <c r="B1316" t="s">
        <v>937</v>
      </c>
      <c r="C1316" s="3">
        <v>2655</v>
      </c>
      <c r="D1316" s="3">
        <v>-3438</v>
      </c>
      <c r="E1316" s="3">
        <v>9172</v>
      </c>
      <c r="F1316">
        <v>4166</v>
      </c>
      <c r="G1316">
        <v>1927</v>
      </c>
      <c r="H1316">
        <v>111</v>
      </c>
      <c r="I1316" t="s">
        <v>938</v>
      </c>
      <c r="J1316">
        <v>4</v>
      </c>
      <c r="K1316" t="s">
        <v>946</v>
      </c>
    </row>
    <row r="1317" spans="1:11" x14ac:dyDescent="0.25">
      <c r="A1317" t="s">
        <v>495</v>
      </c>
      <c r="B1317" t="s">
        <v>936</v>
      </c>
      <c r="C1317" s="3">
        <v>8097</v>
      </c>
      <c r="D1317" s="3">
        <v>6133</v>
      </c>
      <c r="E1317" s="3">
        <v>5354</v>
      </c>
      <c r="F1317">
        <v>1658</v>
      </c>
      <c r="G1317">
        <v>306</v>
      </c>
      <c r="H1317">
        <v>66</v>
      </c>
      <c r="I1317" t="s">
        <v>938</v>
      </c>
      <c r="J1317">
        <v>8</v>
      </c>
      <c r="K1317" t="s">
        <v>948</v>
      </c>
    </row>
    <row r="1318" spans="1:11" x14ac:dyDescent="0.25">
      <c r="A1318" t="s">
        <v>874</v>
      </c>
      <c r="B1318" t="s">
        <v>934</v>
      </c>
      <c r="C1318" s="3">
        <v>3431</v>
      </c>
      <c r="D1318" s="3">
        <v>-2037</v>
      </c>
      <c r="E1318" s="3">
        <v>4488</v>
      </c>
      <c r="F1318">
        <v>3998</v>
      </c>
      <c r="G1318">
        <v>1470</v>
      </c>
      <c r="H1318">
        <v>14</v>
      </c>
      <c r="I1318" t="s">
        <v>941</v>
      </c>
      <c r="J1318">
        <v>8</v>
      </c>
      <c r="K1318" t="s">
        <v>947</v>
      </c>
    </row>
    <row r="1319" spans="1:11" x14ac:dyDescent="0.25">
      <c r="A1319" t="s">
        <v>293</v>
      </c>
      <c r="B1319" t="s">
        <v>937</v>
      </c>
      <c r="C1319" s="3">
        <v>4453</v>
      </c>
      <c r="D1319" s="3">
        <v>-1081</v>
      </c>
      <c r="E1319" s="3">
        <v>4980</v>
      </c>
      <c r="F1319">
        <v>3911</v>
      </c>
      <c r="G1319">
        <v>1623</v>
      </c>
      <c r="H1319">
        <v>61</v>
      </c>
      <c r="I1319" t="s">
        <v>940</v>
      </c>
      <c r="J1319">
        <v>9</v>
      </c>
      <c r="K1319" t="s">
        <v>950</v>
      </c>
    </row>
    <row r="1320" spans="1:11" x14ac:dyDescent="0.25">
      <c r="A1320" t="s">
        <v>875</v>
      </c>
      <c r="B1320" t="s">
        <v>935</v>
      </c>
      <c r="C1320" s="3">
        <v>9279</v>
      </c>
      <c r="D1320" s="3">
        <v>4412</v>
      </c>
      <c r="E1320" s="3">
        <v>6688</v>
      </c>
      <c r="F1320">
        <v>4040</v>
      </c>
      <c r="G1320">
        <v>827</v>
      </c>
      <c r="H1320">
        <v>115</v>
      </c>
      <c r="I1320" t="s">
        <v>938</v>
      </c>
      <c r="J1320">
        <v>8</v>
      </c>
      <c r="K1320" t="s">
        <v>954</v>
      </c>
    </row>
    <row r="1321" spans="1:11" x14ac:dyDescent="0.25">
      <c r="A1321" t="s">
        <v>380</v>
      </c>
      <c r="B1321" t="s">
        <v>934</v>
      </c>
      <c r="C1321" s="3">
        <v>5728</v>
      </c>
      <c r="D1321" s="3">
        <v>1566</v>
      </c>
      <c r="E1321" s="3">
        <v>4685</v>
      </c>
      <c r="F1321">
        <v>3642</v>
      </c>
      <c r="G1321">
        <v>520</v>
      </c>
      <c r="H1321">
        <v>36</v>
      </c>
      <c r="I1321" t="s">
        <v>939</v>
      </c>
      <c r="J1321">
        <v>6</v>
      </c>
      <c r="K1321" t="s">
        <v>948</v>
      </c>
    </row>
    <row r="1322" spans="1:11" x14ac:dyDescent="0.25">
      <c r="A1322" t="s">
        <v>765</v>
      </c>
      <c r="B1322" t="s">
        <v>935</v>
      </c>
      <c r="C1322" s="3">
        <v>10471</v>
      </c>
      <c r="D1322" s="3">
        <v>8340</v>
      </c>
      <c r="E1322" s="3">
        <v>6556</v>
      </c>
      <c r="F1322">
        <v>848</v>
      </c>
      <c r="G1322">
        <v>1283</v>
      </c>
      <c r="H1322">
        <v>28</v>
      </c>
      <c r="I1322" t="s">
        <v>939</v>
      </c>
      <c r="J1322">
        <v>1</v>
      </c>
      <c r="K1322" t="s">
        <v>947</v>
      </c>
    </row>
    <row r="1323" spans="1:11" x14ac:dyDescent="0.25">
      <c r="A1323" t="s">
        <v>812</v>
      </c>
      <c r="B1323" t="s">
        <v>937</v>
      </c>
      <c r="C1323" s="3">
        <v>4047</v>
      </c>
      <c r="D1323" s="3">
        <v>1751</v>
      </c>
      <c r="E1323" s="3">
        <v>5972</v>
      </c>
      <c r="F1323">
        <v>802</v>
      </c>
      <c r="G1323">
        <v>1494</v>
      </c>
      <c r="H1323">
        <v>78</v>
      </c>
      <c r="I1323" t="s">
        <v>941</v>
      </c>
      <c r="J1323">
        <v>1</v>
      </c>
      <c r="K1323" t="s">
        <v>953</v>
      </c>
    </row>
    <row r="1324" spans="1:11" x14ac:dyDescent="0.25">
      <c r="A1324" t="s">
        <v>809</v>
      </c>
      <c r="B1324" t="s">
        <v>934</v>
      </c>
      <c r="C1324" s="3">
        <v>7675</v>
      </c>
      <c r="D1324" s="3">
        <v>2518</v>
      </c>
      <c r="E1324" s="3">
        <v>8448</v>
      </c>
      <c r="F1324">
        <v>4820</v>
      </c>
      <c r="G1324">
        <v>337</v>
      </c>
      <c r="H1324">
        <v>42</v>
      </c>
      <c r="I1324" t="s">
        <v>940</v>
      </c>
      <c r="J1324">
        <v>10</v>
      </c>
      <c r="K1324" t="s">
        <v>948</v>
      </c>
    </row>
    <row r="1325" spans="1:11" x14ac:dyDescent="0.25">
      <c r="A1325" t="s">
        <v>705</v>
      </c>
      <c r="B1325" t="s">
        <v>934</v>
      </c>
      <c r="C1325" s="3">
        <v>10012</v>
      </c>
      <c r="D1325" s="3">
        <v>7528</v>
      </c>
      <c r="E1325" s="3">
        <v>9785</v>
      </c>
      <c r="F1325">
        <v>1745</v>
      </c>
      <c r="G1325">
        <v>739</v>
      </c>
      <c r="H1325">
        <v>55</v>
      </c>
      <c r="I1325" t="s">
        <v>942</v>
      </c>
      <c r="J1325">
        <v>10</v>
      </c>
      <c r="K1325" t="s">
        <v>945</v>
      </c>
    </row>
    <row r="1326" spans="1:11" x14ac:dyDescent="0.25">
      <c r="A1326" t="s">
        <v>802</v>
      </c>
      <c r="B1326" t="s">
        <v>935</v>
      </c>
      <c r="C1326" s="3">
        <v>7402</v>
      </c>
      <c r="D1326" s="3">
        <v>2783</v>
      </c>
      <c r="E1326" s="3">
        <v>4699</v>
      </c>
      <c r="F1326">
        <v>3593</v>
      </c>
      <c r="G1326">
        <v>1026</v>
      </c>
      <c r="H1326">
        <v>50</v>
      </c>
      <c r="I1326" t="s">
        <v>941</v>
      </c>
      <c r="J1326">
        <v>8</v>
      </c>
      <c r="K1326" t="s">
        <v>948</v>
      </c>
    </row>
    <row r="1327" spans="1:11" x14ac:dyDescent="0.25">
      <c r="A1327" t="s">
        <v>876</v>
      </c>
      <c r="B1327" t="s">
        <v>937</v>
      </c>
      <c r="C1327" s="3">
        <v>3304</v>
      </c>
      <c r="D1327" s="3">
        <v>-272</v>
      </c>
      <c r="E1327" s="3">
        <v>7985</v>
      </c>
      <c r="F1327">
        <v>2342</v>
      </c>
      <c r="G1327">
        <v>1234</v>
      </c>
      <c r="H1327">
        <v>36</v>
      </c>
      <c r="I1327" t="s">
        <v>942</v>
      </c>
      <c r="J1327">
        <v>7</v>
      </c>
      <c r="K1327" t="s">
        <v>946</v>
      </c>
    </row>
    <row r="1328" spans="1:11" x14ac:dyDescent="0.25">
      <c r="A1328" t="s">
        <v>448</v>
      </c>
      <c r="B1328" t="s">
        <v>935</v>
      </c>
      <c r="C1328" s="3">
        <v>11565</v>
      </c>
      <c r="D1328" s="3">
        <v>9210</v>
      </c>
      <c r="E1328" s="3">
        <v>6610</v>
      </c>
      <c r="F1328">
        <v>1264</v>
      </c>
      <c r="G1328">
        <v>1091</v>
      </c>
      <c r="H1328">
        <v>51</v>
      </c>
      <c r="I1328" t="s">
        <v>940</v>
      </c>
      <c r="J1328">
        <v>5</v>
      </c>
      <c r="K1328" t="s">
        <v>948</v>
      </c>
    </row>
    <row r="1329" spans="1:11" x14ac:dyDescent="0.25">
      <c r="A1329" t="s">
        <v>806</v>
      </c>
      <c r="B1329" t="s">
        <v>936</v>
      </c>
      <c r="C1329" s="3">
        <v>10237</v>
      </c>
      <c r="D1329" s="3">
        <v>7103</v>
      </c>
      <c r="E1329" s="3">
        <v>7555</v>
      </c>
      <c r="F1329">
        <v>2268</v>
      </c>
      <c r="G1329">
        <v>866</v>
      </c>
      <c r="H1329">
        <v>70</v>
      </c>
      <c r="I1329" t="s">
        <v>939</v>
      </c>
      <c r="J1329">
        <v>3</v>
      </c>
      <c r="K1329" t="s">
        <v>952</v>
      </c>
    </row>
    <row r="1330" spans="1:11" x14ac:dyDescent="0.25">
      <c r="A1330" t="s">
        <v>274</v>
      </c>
      <c r="B1330" t="s">
        <v>936</v>
      </c>
      <c r="C1330" s="3">
        <v>2773</v>
      </c>
      <c r="D1330" s="3">
        <v>449</v>
      </c>
      <c r="E1330" s="3">
        <v>8923</v>
      </c>
      <c r="F1330">
        <v>1601</v>
      </c>
      <c r="G1330">
        <v>723</v>
      </c>
      <c r="H1330">
        <v>42</v>
      </c>
      <c r="I1330" t="s">
        <v>941</v>
      </c>
      <c r="J1330">
        <v>9</v>
      </c>
      <c r="K1330" t="s">
        <v>954</v>
      </c>
    </row>
    <row r="1331" spans="1:11" x14ac:dyDescent="0.25">
      <c r="A1331" t="s">
        <v>877</v>
      </c>
      <c r="B1331" t="s">
        <v>934</v>
      </c>
      <c r="C1331" s="3">
        <v>5229</v>
      </c>
      <c r="D1331" s="3">
        <v>1708</v>
      </c>
      <c r="E1331" s="3">
        <v>5767</v>
      </c>
      <c r="F1331">
        <v>2066</v>
      </c>
      <c r="G1331">
        <v>1455</v>
      </c>
      <c r="H1331">
        <v>103</v>
      </c>
      <c r="I1331" t="s">
        <v>941</v>
      </c>
      <c r="J1331">
        <v>2</v>
      </c>
      <c r="K1331" t="s">
        <v>944</v>
      </c>
    </row>
    <row r="1332" spans="1:11" x14ac:dyDescent="0.25">
      <c r="A1332" t="s">
        <v>637</v>
      </c>
      <c r="B1332" t="s">
        <v>937</v>
      </c>
      <c r="C1332" s="3">
        <v>8962</v>
      </c>
      <c r="D1332" s="3">
        <v>4397</v>
      </c>
      <c r="E1332" s="3">
        <v>5600</v>
      </c>
      <c r="F1332">
        <v>3348</v>
      </c>
      <c r="G1332">
        <v>1217</v>
      </c>
      <c r="H1332">
        <v>46</v>
      </c>
      <c r="I1332" t="s">
        <v>941</v>
      </c>
      <c r="J1332">
        <v>1</v>
      </c>
      <c r="K1332" t="s">
        <v>953</v>
      </c>
    </row>
    <row r="1333" spans="1:11" x14ac:dyDescent="0.25">
      <c r="A1333" t="s">
        <v>485</v>
      </c>
      <c r="B1333" t="s">
        <v>936</v>
      </c>
      <c r="C1333" s="3">
        <v>10939</v>
      </c>
      <c r="D1333" s="3">
        <v>6270</v>
      </c>
      <c r="E1333" s="3">
        <v>4708</v>
      </c>
      <c r="F1333">
        <v>4020</v>
      </c>
      <c r="G1333">
        <v>649</v>
      </c>
      <c r="H1333">
        <v>25</v>
      </c>
      <c r="I1333" t="s">
        <v>939</v>
      </c>
      <c r="J1333">
        <v>10</v>
      </c>
      <c r="K1333" t="s">
        <v>948</v>
      </c>
    </row>
    <row r="1334" spans="1:11" x14ac:dyDescent="0.25">
      <c r="A1334" t="s">
        <v>38</v>
      </c>
      <c r="B1334" t="s">
        <v>934</v>
      </c>
      <c r="C1334" s="3">
        <v>6215</v>
      </c>
      <c r="D1334" s="3">
        <v>3288</v>
      </c>
      <c r="E1334" s="3">
        <v>8714</v>
      </c>
      <c r="F1334">
        <v>2084</v>
      </c>
      <c r="G1334">
        <v>843</v>
      </c>
      <c r="H1334">
        <v>61</v>
      </c>
      <c r="I1334" t="s">
        <v>938</v>
      </c>
      <c r="J1334">
        <v>2</v>
      </c>
      <c r="K1334" t="s">
        <v>946</v>
      </c>
    </row>
    <row r="1335" spans="1:11" x14ac:dyDescent="0.25">
      <c r="A1335" t="s">
        <v>483</v>
      </c>
      <c r="B1335" t="s">
        <v>936</v>
      </c>
      <c r="C1335" s="3">
        <v>10828</v>
      </c>
      <c r="D1335" s="3">
        <v>6970</v>
      </c>
      <c r="E1335" s="3">
        <v>9102</v>
      </c>
      <c r="F1335">
        <v>2672</v>
      </c>
      <c r="G1335">
        <v>1186</v>
      </c>
      <c r="H1335">
        <v>17</v>
      </c>
      <c r="I1335" t="s">
        <v>941</v>
      </c>
      <c r="J1335">
        <v>6</v>
      </c>
      <c r="K1335" t="s">
        <v>943</v>
      </c>
    </row>
    <row r="1336" spans="1:11" x14ac:dyDescent="0.25">
      <c r="A1336" t="s">
        <v>553</v>
      </c>
      <c r="B1336" t="s">
        <v>936</v>
      </c>
      <c r="C1336" s="3">
        <v>5369</v>
      </c>
      <c r="D1336" s="3">
        <v>2343</v>
      </c>
      <c r="E1336" s="3">
        <v>4562</v>
      </c>
      <c r="F1336">
        <v>1336</v>
      </c>
      <c r="G1336">
        <v>1690</v>
      </c>
      <c r="H1336">
        <v>72</v>
      </c>
      <c r="I1336" t="s">
        <v>941</v>
      </c>
      <c r="J1336">
        <v>10</v>
      </c>
      <c r="K1336" t="s">
        <v>951</v>
      </c>
    </row>
    <row r="1337" spans="1:11" x14ac:dyDescent="0.25">
      <c r="A1337" t="s">
        <v>719</v>
      </c>
      <c r="B1337" t="s">
        <v>937</v>
      </c>
      <c r="C1337" s="3">
        <v>7410</v>
      </c>
      <c r="D1337" s="3">
        <v>2105</v>
      </c>
      <c r="E1337" s="3">
        <v>9795</v>
      </c>
      <c r="F1337">
        <v>4096</v>
      </c>
      <c r="G1337">
        <v>1209</v>
      </c>
      <c r="H1337">
        <v>11</v>
      </c>
      <c r="I1337" t="s">
        <v>941</v>
      </c>
      <c r="J1337">
        <v>3</v>
      </c>
      <c r="K1337" t="s">
        <v>946</v>
      </c>
    </row>
    <row r="1338" spans="1:11" x14ac:dyDescent="0.25">
      <c r="A1338" t="s">
        <v>669</v>
      </c>
      <c r="B1338" t="s">
        <v>937</v>
      </c>
      <c r="C1338" s="3">
        <v>7533</v>
      </c>
      <c r="D1338" s="3">
        <v>2665</v>
      </c>
      <c r="E1338" s="3">
        <v>7457</v>
      </c>
      <c r="F1338">
        <v>4339</v>
      </c>
      <c r="G1338">
        <v>529</v>
      </c>
      <c r="H1338">
        <v>51</v>
      </c>
      <c r="I1338" t="s">
        <v>939</v>
      </c>
      <c r="J1338">
        <v>3</v>
      </c>
      <c r="K1338" t="s">
        <v>946</v>
      </c>
    </row>
    <row r="1339" spans="1:11" x14ac:dyDescent="0.25">
      <c r="A1339" t="s">
        <v>777</v>
      </c>
      <c r="B1339" t="s">
        <v>935</v>
      </c>
      <c r="C1339" s="3">
        <v>5720</v>
      </c>
      <c r="D1339" s="3">
        <v>2096</v>
      </c>
      <c r="E1339" s="3">
        <v>9124</v>
      </c>
      <c r="F1339">
        <v>1719</v>
      </c>
      <c r="G1339">
        <v>1905</v>
      </c>
      <c r="H1339">
        <v>100</v>
      </c>
      <c r="I1339" t="s">
        <v>938</v>
      </c>
      <c r="J1339">
        <v>9</v>
      </c>
      <c r="K1339" t="s">
        <v>949</v>
      </c>
    </row>
    <row r="1340" spans="1:11" x14ac:dyDescent="0.25">
      <c r="A1340" t="s">
        <v>878</v>
      </c>
      <c r="B1340" t="s">
        <v>934</v>
      </c>
      <c r="C1340" s="3">
        <v>7605</v>
      </c>
      <c r="D1340" s="3">
        <v>3792</v>
      </c>
      <c r="E1340" s="3">
        <v>8136</v>
      </c>
      <c r="F1340">
        <v>3299</v>
      </c>
      <c r="G1340">
        <v>514</v>
      </c>
      <c r="H1340">
        <v>106</v>
      </c>
      <c r="I1340" t="s">
        <v>939</v>
      </c>
      <c r="J1340">
        <v>1</v>
      </c>
      <c r="K1340" t="s">
        <v>943</v>
      </c>
    </row>
    <row r="1341" spans="1:11" x14ac:dyDescent="0.25">
      <c r="A1341" t="s">
        <v>259</v>
      </c>
      <c r="B1341" t="s">
        <v>934</v>
      </c>
      <c r="C1341" s="3">
        <v>4007</v>
      </c>
      <c r="D1341" s="3">
        <v>321</v>
      </c>
      <c r="E1341" s="3">
        <v>5307</v>
      </c>
      <c r="F1341">
        <v>2207</v>
      </c>
      <c r="G1341">
        <v>1479</v>
      </c>
      <c r="H1341">
        <v>73</v>
      </c>
      <c r="I1341" t="s">
        <v>938</v>
      </c>
      <c r="J1341">
        <v>10</v>
      </c>
      <c r="K1341" t="s">
        <v>946</v>
      </c>
    </row>
    <row r="1342" spans="1:11" x14ac:dyDescent="0.25">
      <c r="A1342" t="s">
        <v>259</v>
      </c>
      <c r="B1342" t="s">
        <v>934</v>
      </c>
      <c r="C1342" s="3">
        <v>4528</v>
      </c>
      <c r="D1342" s="3">
        <v>-835</v>
      </c>
      <c r="E1342" s="3">
        <v>7407</v>
      </c>
      <c r="F1342">
        <v>3478</v>
      </c>
      <c r="G1342">
        <v>1885</v>
      </c>
      <c r="H1342">
        <v>24</v>
      </c>
      <c r="I1342" t="s">
        <v>940</v>
      </c>
      <c r="J1342">
        <v>4</v>
      </c>
      <c r="K1342" t="s">
        <v>946</v>
      </c>
    </row>
    <row r="1343" spans="1:11" x14ac:dyDescent="0.25">
      <c r="A1343" t="s">
        <v>472</v>
      </c>
      <c r="B1343" t="s">
        <v>936</v>
      </c>
      <c r="C1343" s="3">
        <v>5490</v>
      </c>
      <c r="D1343" s="3">
        <v>3498</v>
      </c>
      <c r="E1343" s="3">
        <v>4448</v>
      </c>
      <c r="F1343">
        <v>1708</v>
      </c>
      <c r="G1343">
        <v>284</v>
      </c>
      <c r="H1343">
        <v>98</v>
      </c>
      <c r="I1343" t="s">
        <v>942</v>
      </c>
      <c r="J1343">
        <v>4</v>
      </c>
      <c r="K1343" t="s">
        <v>949</v>
      </c>
    </row>
    <row r="1344" spans="1:11" x14ac:dyDescent="0.25">
      <c r="A1344" t="s">
        <v>548</v>
      </c>
      <c r="B1344" t="s">
        <v>934</v>
      </c>
      <c r="C1344" s="3">
        <v>4534</v>
      </c>
      <c r="D1344" s="3">
        <v>-709</v>
      </c>
      <c r="E1344" s="3">
        <v>9264</v>
      </c>
      <c r="F1344">
        <v>3889</v>
      </c>
      <c r="G1344">
        <v>1354</v>
      </c>
      <c r="H1344">
        <v>56</v>
      </c>
      <c r="I1344" t="s">
        <v>938</v>
      </c>
      <c r="J1344">
        <v>8</v>
      </c>
      <c r="K1344" t="s">
        <v>944</v>
      </c>
    </row>
    <row r="1345" spans="1:11" x14ac:dyDescent="0.25">
      <c r="A1345" t="s">
        <v>879</v>
      </c>
      <c r="B1345" t="s">
        <v>937</v>
      </c>
      <c r="C1345" s="3">
        <v>5053</v>
      </c>
      <c r="D1345" s="3">
        <v>3578</v>
      </c>
      <c r="E1345" s="3">
        <v>8981</v>
      </c>
      <c r="F1345">
        <v>1263</v>
      </c>
      <c r="G1345">
        <v>212</v>
      </c>
      <c r="H1345">
        <v>91</v>
      </c>
      <c r="I1345" t="s">
        <v>942</v>
      </c>
      <c r="J1345">
        <v>3</v>
      </c>
      <c r="K1345" t="s">
        <v>948</v>
      </c>
    </row>
    <row r="1346" spans="1:11" x14ac:dyDescent="0.25">
      <c r="A1346" t="s">
        <v>880</v>
      </c>
      <c r="B1346" t="s">
        <v>936</v>
      </c>
      <c r="C1346" s="3">
        <v>3200</v>
      </c>
      <c r="D1346" s="3">
        <v>1432</v>
      </c>
      <c r="E1346" s="3">
        <v>9582</v>
      </c>
      <c r="F1346">
        <v>1143</v>
      </c>
      <c r="G1346">
        <v>625</v>
      </c>
      <c r="H1346">
        <v>96</v>
      </c>
      <c r="I1346" t="s">
        <v>938</v>
      </c>
      <c r="J1346">
        <v>1</v>
      </c>
      <c r="K1346" t="s">
        <v>954</v>
      </c>
    </row>
    <row r="1347" spans="1:11" x14ac:dyDescent="0.25">
      <c r="A1347" t="s">
        <v>881</v>
      </c>
      <c r="B1347" t="s">
        <v>936</v>
      </c>
      <c r="C1347" s="3">
        <v>2982</v>
      </c>
      <c r="D1347" s="3">
        <v>-208</v>
      </c>
      <c r="E1347" s="3">
        <v>7644</v>
      </c>
      <c r="F1347">
        <v>2849</v>
      </c>
      <c r="G1347">
        <v>341</v>
      </c>
      <c r="H1347">
        <v>11</v>
      </c>
      <c r="I1347" t="s">
        <v>939</v>
      </c>
      <c r="J1347">
        <v>9</v>
      </c>
      <c r="K1347" t="s">
        <v>946</v>
      </c>
    </row>
    <row r="1348" spans="1:11" x14ac:dyDescent="0.25">
      <c r="A1348" t="s">
        <v>722</v>
      </c>
      <c r="B1348" t="s">
        <v>935</v>
      </c>
      <c r="C1348" s="3">
        <v>9985</v>
      </c>
      <c r="D1348" s="3">
        <v>7293</v>
      </c>
      <c r="E1348" s="3">
        <v>7671</v>
      </c>
      <c r="F1348">
        <v>1056</v>
      </c>
      <c r="G1348">
        <v>1636</v>
      </c>
      <c r="H1348">
        <v>79</v>
      </c>
      <c r="I1348" t="s">
        <v>941</v>
      </c>
      <c r="J1348">
        <v>10</v>
      </c>
      <c r="K1348" t="s">
        <v>949</v>
      </c>
    </row>
    <row r="1349" spans="1:11" x14ac:dyDescent="0.25">
      <c r="A1349" t="s">
        <v>144</v>
      </c>
      <c r="B1349" t="s">
        <v>935</v>
      </c>
      <c r="C1349" s="3">
        <v>2779</v>
      </c>
      <c r="D1349" s="3">
        <v>-902</v>
      </c>
      <c r="E1349" s="3">
        <v>8020</v>
      </c>
      <c r="F1349">
        <v>2066</v>
      </c>
      <c r="G1349">
        <v>1615</v>
      </c>
      <c r="H1349">
        <v>40</v>
      </c>
      <c r="I1349" t="s">
        <v>941</v>
      </c>
      <c r="J1349">
        <v>2</v>
      </c>
      <c r="K1349" t="s">
        <v>945</v>
      </c>
    </row>
    <row r="1350" spans="1:11" x14ac:dyDescent="0.25">
      <c r="A1350" t="s">
        <v>882</v>
      </c>
      <c r="B1350" t="s">
        <v>935</v>
      </c>
      <c r="C1350" s="3">
        <v>7463</v>
      </c>
      <c r="D1350" s="3">
        <v>2893</v>
      </c>
      <c r="E1350" s="3">
        <v>5470</v>
      </c>
      <c r="F1350">
        <v>2960</v>
      </c>
      <c r="G1350">
        <v>1610</v>
      </c>
      <c r="H1350">
        <v>95</v>
      </c>
      <c r="I1350" t="s">
        <v>939</v>
      </c>
      <c r="J1350">
        <v>6</v>
      </c>
      <c r="K1350" t="s">
        <v>951</v>
      </c>
    </row>
    <row r="1351" spans="1:11" x14ac:dyDescent="0.25">
      <c r="A1351" t="s">
        <v>883</v>
      </c>
      <c r="B1351" t="s">
        <v>936</v>
      </c>
      <c r="C1351" s="3">
        <v>8006</v>
      </c>
      <c r="D1351" s="3">
        <v>4126</v>
      </c>
      <c r="E1351" s="3">
        <v>8779</v>
      </c>
      <c r="F1351">
        <v>2481</v>
      </c>
      <c r="G1351">
        <v>1399</v>
      </c>
      <c r="H1351">
        <v>24</v>
      </c>
      <c r="I1351" t="s">
        <v>942</v>
      </c>
      <c r="J1351">
        <v>4</v>
      </c>
      <c r="K1351" t="s">
        <v>953</v>
      </c>
    </row>
    <row r="1352" spans="1:11" x14ac:dyDescent="0.25">
      <c r="A1352" t="s">
        <v>465</v>
      </c>
      <c r="B1352" t="s">
        <v>937</v>
      </c>
      <c r="C1352" s="3">
        <v>4108</v>
      </c>
      <c r="D1352" s="3">
        <v>-305</v>
      </c>
      <c r="E1352" s="3">
        <v>4841</v>
      </c>
      <c r="F1352">
        <v>3293</v>
      </c>
      <c r="G1352">
        <v>1120</v>
      </c>
      <c r="H1352">
        <v>93</v>
      </c>
      <c r="I1352" t="s">
        <v>941</v>
      </c>
      <c r="J1352">
        <v>5</v>
      </c>
      <c r="K1352" t="s">
        <v>953</v>
      </c>
    </row>
    <row r="1353" spans="1:11" x14ac:dyDescent="0.25">
      <c r="A1353" t="s">
        <v>884</v>
      </c>
      <c r="B1353" t="s">
        <v>937</v>
      </c>
      <c r="C1353" s="3">
        <v>8699</v>
      </c>
      <c r="D1353" s="3">
        <v>6805</v>
      </c>
      <c r="E1353" s="3">
        <v>5153</v>
      </c>
      <c r="F1353">
        <v>1320</v>
      </c>
      <c r="G1353">
        <v>574</v>
      </c>
      <c r="H1353">
        <v>64</v>
      </c>
      <c r="I1353" t="s">
        <v>940</v>
      </c>
      <c r="J1353">
        <v>9</v>
      </c>
      <c r="K1353" t="s">
        <v>953</v>
      </c>
    </row>
    <row r="1354" spans="1:11" x14ac:dyDescent="0.25">
      <c r="A1354" t="s">
        <v>554</v>
      </c>
      <c r="B1354" t="s">
        <v>936</v>
      </c>
      <c r="C1354" s="3">
        <v>3178</v>
      </c>
      <c r="D1354" s="3">
        <v>-1886</v>
      </c>
      <c r="E1354" s="3">
        <v>4612</v>
      </c>
      <c r="F1354">
        <v>3974</v>
      </c>
      <c r="G1354">
        <v>1090</v>
      </c>
      <c r="H1354">
        <v>15</v>
      </c>
      <c r="I1354" t="s">
        <v>939</v>
      </c>
      <c r="J1354">
        <v>8</v>
      </c>
      <c r="K1354" t="s">
        <v>954</v>
      </c>
    </row>
    <row r="1355" spans="1:11" x14ac:dyDescent="0.25">
      <c r="A1355" t="s">
        <v>262</v>
      </c>
      <c r="B1355" t="s">
        <v>934</v>
      </c>
      <c r="C1355" s="3">
        <v>2985</v>
      </c>
      <c r="D1355" s="3">
        <v>278</v>
      </c>
      <c r="E1355" s="3">
        <v>8470</v>
      </c>
      <c r="F1355">
        <v>1385</v>
      </c>
      <c r="G1355">
        <v>1322</v>
      </c>
      <c r="H1355">
        <v>60</v>
      </c>
      <c r="I1355" t="s">
        <v>938</v>
      </c>
      <c r="J1355">
        <v>5</v>
      </c>
      <c r="K1355" t="s">
        <v>949</v>
      </c>
    </row>
    <row r="1356" spans="1:11" x14ac:dyDescent="0.25">
      <c r="A1356" t="s">
        <v>823</v>
      </c>
      <c r="B1356" t="s">
        <v>936</v>
      </c>
      <c r="C1356" s="3">
        <v>10387</v>
      </c>
      <c r="D1356" s="3">
        <v>7300</v>
      </c>
      <c r="E1356" s="3">
        <v>5631</v>
      </c>
      <c r="F1356">
        <v>1781</v>
      </c>
      <c r="G1356">
        <v>1306</v>
      </c>
      <c r="H1356">
        <v>52</v>
      </c>
      <c r="I1356" t="s">
        <v>942</v>
      </c>
      <c r="J1356">
        <v>4</v>
      </c>
      <c r="K1356" t="s">
        <v>949</v>
      </c>
    </row>
    <row r="1357" spans="1:11" x14ac:dyDescent="0.25">
      <c r="A1357" t="s">
        <v>885</v>
      </c>
      <c r="B1357" t="s">
        <v>936</v>
      </c>
      <c r="C1357" s="3">
        <v>6850</v>
      </c>
      <c r="D1357" s="3">
        <v>3081</v>
      </c>
      <c r="E1357" s="3">
        <v>4582</v>
      </c>
      <c r="F1357">
        <v>1800</v>
      </c>
      <c r="G1357">
        <v>1969</v>
      </c>
      <c r="H1357">
        <v>29</v>
      </c>
      <c r="I1357" t="s">
        <v>941</v>
      </c>
      <c r="J1357">
        <v>10</v>
      </c>
      <c r="K1357" t="s">
        <v>949</v>
      </c>
    </row>
    <row r="1358" spans="1:11" x14ac:dyDescent="0.25">
      <c r="A1358" t="s">
        <v>886</v>
      </c>
      <c r="B1358" t="s">
        <v>934</v>
      </c>
      <c r="C1358" s="3">
        <v>11427</v>
      </c>
      <c r="D1358" s="3">
        <v>6885</v>
      </c>
      <c r="E1358" s="3">
        <v>5900</v>
      </c>
      <c r="F1358">
        <v>3100</v>
      </c>
      <c r="G1358">
        <v>1442</v>
      </c>
      <c r="H1358">
        <v>57</v>
      </c>
      <c r="I1358" t="s">
        <v>939</v>
      </c>
      <c r="J1358">
        <v>10</v>
      </c>
      <c r="K1358" t="s">
        <v>944</v>
      </c>
    </row>
    <row r="1359" spans="1:11" x14ac:dyDescent="0.25">
      <c r="A1359" t="s">
        <v>807</v>
      </c>
      <c r="B1359" t="s">
        <v>934</v>
      </c>
      <c r="C1359" s="3">
        <v>4945</v>
      </c>
      <c r="D1359" s="3">
        <v>259</v>
      </c>
      <c r="E1359" s="3">
        <v>8892</v>
      </c>
      <c r="F1359">
        <v>3926</v>
      </c>
      <c r="G1359">
        <v>760</v>
      </c>
      <c r="H1359">
        <v>90</v>
      </c>
      <c r="I1359" t="s">
        <v>940</v>
      </c>
      <c r="J1359">
        <v>7</v>
      </c>
      <c r="K1359" t="s">
        <v>946</v>
      </c>
    </row>
    <row r="1360" spans="1:11" x14ac:dyDescent="0.25">
      <c r="A1360" t="s">
        <v>887</v>
      </c>
      <c r="B1360" t="s">
        <v>936</v>
      </c>
      <c r="C1360" s="3">
        <v>10220</v>
      </c>
      <c r="D1360" s="3">
        <v>4713</v>
      </c>
      <c r="E1360" s="3">
        <v>8564</v>
      </c>
      <c r="F1360">
        <v>4196</v>
      </c>
      <c r="G1360">
        <v>1311</v>
      </c>
      <c r="H1360">
        <v>77</v>
      </c>
      <c r="I1360" t="s">
        <v>938</v>
      </c>
      <c r="J1360">
        <v>7</v>
      </c>
      <c r="K1360" t="s">
        <v>944</v>
      </c>
    </row>
    <row r="1361" spans="1:11" x14ac:dyDescent="0.25">
      <c r="A1361" t="s">
        <v>486</v>
      </c>
      <c r="B1361" t="s">
        <v>934</v>
      </c>
      <c r="C1361" s="3">
        <v>10124</v>
      </c>
      <c r="D1361" s="3">
        <v>7496</v>
      </c>
      <c r="E1361" s="3">
        <v>4336</v>
      </c>
      <c r="F1361">
        <v>1678</v>
      </c>
      <c r="G1361">
        <v>950</v>
      </c>
      <c r="H1361">
        <v>81</v>
      </c>
      <c r="I1361" t="s">
        <v>938</v>
      </c>
      <c r="J1361">
        <v>9</v>
      </c>
      <c r="K1361" t="s">
        <v>946</v>
      </c>
    </row>
    <row r="1362" spans="1:11" x14ac:dyDescent="0.25">
      <c r="A1362" t="s">
        <v>654</v>
      </c>
      <c r="B1362" t="s">
        <v>935</v>
      </c>
      <c r="C1362" s="3">
        <v>2395</v>
      </c>
      <c r="D1362" s="3">
        <v>-671</v>
      </c>
      <c r="E1362" s="3">
        <v>5699</v>
      </c>
      <c r="F1362">
        <v>1756</v>
      </c>
      <c r="G1362">
        <v>1310</v>
      </c>
      <c r="H1362">
        <v>96</v>
      </c>
      <c r="I1362" t="s">
        <v>938</v>
      </c>
      <c r="J1362">
        <v>7</v>
      </c>
      <c r="K1362" t="s">
        <v>948</v>
      </c>
    </row>
    <row r="1363" spans="1:11" x14ac:dyDescent="0.25">
      <c r="A1363" t="s">
        <v>645</v>
      </c>
      <c r="B1363" t="s">
        <v>937</v>
      </c>
      <c r="C1363" s="3">
        <v>9023</v>
      </c>
      <c r="D1363" s="3">
        <v>3817</v>
      </c>
      <c r="E1363" s="3">
        <v>6886</v>
      </c>
      <c r="F1363">
        <v>4696</v>
      </c>
      <c r="G1363">
        <v>510</v>
      </c>
      <c r="H1363">
        <v>30</v>
      </c>
      <c r="I1363" t="s">
        <v>938</v>
      </c>
      <c r="J1363">
        <v>2</v>
      </c>
      <c r="K1363" t="s">
        <v>953</v>
      </c>
    </row>
    <row r="1364" spans="1:11" x14ac:dyDescent="0.25">
      <c r="A1364" t="s">
        <v>888</v>
      </c>
      <c r="B1364" t="s">
        <v>937</v>
      </c>
      <c r="C1364" s="3">
        <v>2819</v>
      </c>
      <c r="D1364" s="3">
        <v>-1574</v>
      </c>
      <c r="E1364" s="3">
        <v>6243</v>
      </c>
      <c r="F1364">
        <v>3774</v>
      </c>
      <c r="G1364">
        <v>619</v>
      </c>
      <c r="H1364">
        <v>76</v>
      </c>
      <c r="I1364" t="s">
        <v>939</v>
      </c>
      <c r="J1364">
        <v>2</v>
      </c>
      <c r="K1364" t="s">
        <v>951</v>
      </c>
    </row>
    <row r="1365" spans="1:11" x14ac:dyDescent="0.25">
      <c r="A1365" t="s">
        <v>462</v>
      </c>
      <c r="B1365" t="s">
        <v>937</v>
      </c>
      <c r="C1365" s="3">
        <v>10391</v>
      </c>
      <c r="D1365" s="3">
        <v>4171</v>
      </c>
      <c r="E1365" s="3">
        <v>8831</v>
      </c>
      <c r="F1365">
        <v>4381</v>
      </c>
      <c r="G1365">
        <v>1839</v>
      </c>
      <c r="H1365">
        <v>22</v>
      </c>
      <c r="I1365" t="s">
        <v>941</v>
      </c>
      <c r="J1365">
        <v>1</v>
      </c>
      <c r="K1365" t="s">
        <v>944</v>
      </c>
    </row>
    <row r="1366" spans="1:11" x14ac:dyDescent="0.25">
      <c r="A1366" t="s">
        <v>31</v>
      </c>
      <c r="B1366" t="s">
        <v>935</v>
      </c>
      <c r="C1366" s="3">
        <v>11054</v>
      </c>
      <c r="D1366" s="3">
        <v>4859</v>
      </c>
      <c r="E1366" s="3">
        <v>9471</v>
      </c>
      <c r="F1366">
        <v>4986</v>
      </c>
      <c r="G1366">
        <v>1209</v>
      </c>
      <c r="H1366">
        <v>42</v>
      </c>
      <c r="I1366" t="s">
        <v>941</v>
      </c>
      <c r="J1366">
        <v>8</v>
      </c>
      <c r="K1366" t="s">
        <v>946</v>
      </c>
    </row>
    <row r="1367" spans="1:11" x14ac:dyDescent="0.25">
      <c r="A1367" t="s">
        <v>622</v>
      </c>
      <c r="B1367" t="s">
        <v>936</v>
      </c>
      <c r="C1367" s="3">
        <v>7575</v>
      </c>
      <c r="D1367" s="3">
        <v>4974</v>
      </c>
      <c r="E1367" s="3">
        <v>9381</v>
      </c>
      <c r="F1367">
        <v>2397</v>
      </c>
      <c r="G1367">
        <v>204</v>
      </c>
      <c r="H1367">
        <v>65</v>
      </c>
      <c r="I1367" t="s">
        <v>940</v>
      </c>
      <c r="J1367">
        <v>5</v>
      </c>
      <c r="K1367" t="s">
        <v>949</v>
      </c>
    </row>
    <row r="1368" spans="1:11" x14ac:dyDescent="0.25">
      <c r="A1368" t="s">
        <v>889</v>
      </c>
      <c r="B1368" t="s">
        <v>937</v>
      </c>
      <c r="C1368" s="3">
        <v>5278</v>
      </c>
      <c r="D1368" s="3">
        <v>2380</v>
      </c>
      <c r="E1368" s="3">
        <v>7224</v>
      </c>
      <c r="F1368">
        <v>2348</v>
      </c>
      <c r="G1368">
        <v>550</v>
      </c>
      <c r="H1368">
        <v>111</v>
      </c>
      <c r="I1368" t="s">
        <v>938</v>
      </c>
      <c r="J1368">
        <v>4</v>
      </c>
      <c r="K1368" t="s">
        <v>953</v>
      </c>
    </row>
    <row r="1369" spans="1:11" x14ac:dyDescent="0.25">
      <c r="A1369" t="s">
        <v>514</v>
      </c>
      <c r="B1369" t="s">
        <v>935</v>
      </c>
      <c r="C1369" s="3">
        <v>9206</v>
      </c>
      <c r="D1369" s="3">
        <v>5847</v>
      </c>
      <c r="E1369" s="3">
        <v>7573</v>
      </c>
      <c r="F1369">
        <v>2485</v>
      </c>
      <c r="G1369">
        <v>874</v>
      </c>
      <c r="H1369">
        <v>90</v>
      </c>
      <c r="I1369" t="s">
        <v>938</v>
      </c>
      <c r="J1369">
        <v>1</v>
      </c>
      <c r="K1369" t="s">
        <v>951</v>
      </c>
    </row>
    <row r="1370" spans="1:11" x14ac:dyDescent="0.25">
      <c r="A1370" t="s">
        <v>155</v>
      </c>
      <c r="B1370" t="s">
        <v>934</v>
      </c>
      <c r="C1370" s="3">
        <v>9311</v>
      </c>
      <c r="D1370" s="3">
        <v>3490</v>
      </c>
      <c r="E1370" s="3">
        <v>7027</v>
      </c>
      <c r="F1370">
        <v>4987</v>
      </c>
      <c r="G1370">
        <v>834</v>
      </c>
      <c r="H1370">
        <v>106</v>
      </c>
      <c r="I1370" t="s">
        <v>940</v>
      </c>
      <c r="J1370">
        <v>8</v>
      </c>
      <c r="K1370" t="s">
        <v>954</v>
      </c>
    </row>
    <row r="1371" spans="1:11" x14ac:dyDescent="0.25">
      <c r="A1371" t="s">
        <v>760</v>
      </c>
      <c r="B1371" t="s">
        <v>935</v>
      </c>
      <c r="C1371" s="3">
        <v>6416</v>
      </c>
      <c r="D1371" s="3">
        <v>2824</v>
      </c>
      <c r="E1371" s="3">
        <v>8974</v>
      </c>
      <c r="F1371">
        <v>3100</v>
      </c>
      <c r="G1371">
        <v>492</v>
      </c>
      <c r="H1371">
        <v>52</v>
      </c>
      <c r="I1371" t="s">
        <v>938</v>
      </c>
      <c r="J1371">
        <v>10</v>
      </c>
      <c r="K1371" t="s">
        <v>948</v>
      </c>
    </row>
    <row r="1372" spans="1:11" x14ac:dyDescent="0.25">
      <c r="A1372" t="s">
        <v>890</v>
      </c>
      <c r="B1372" t="s">
        <v>937</v>
      </c>
      <c r="C1372" s="3">
        <v>4559</v>
      </c>
      <c r="D1372" s="3">
        <v>-368</v>
      </c>
      <c r="E1372" s="3">
        <v>4262</v>
      </c>
      <c r="F1372">
        <v>4341</v>
      </c>
      <c r="G1372">
        <v>586</v>
      </c>
      <c r="H1372">
        <v>100</v>
      </c>
      <c r="I1372" t="s">
        <v>941</v>
      </c>
      <c r="J1372">
        <v>1</v>
      </c>
      <c r="K1372" t="s">
        <v>944</v>
      </c>
    </row>
    <row r="1373" spans="1:11" x14ac:dyDescent="0.25">
      <c r="A1373" t="s">
        <v>776</v>
      </c>
      <c r="B1373" t="s">
        <v>936</v>
      </c>
      <c r="C1373" s="3">
        <v>10218</v>
      </c>
      <c r="D1373" s="3">
        <v>6389</v>
      </c>
      <c r="E1373" s="3">
        <v>6038</v>
      </c>
      <c r="F1373">
        <v>2203</v>
      </c>
      <c r="G1373">
        <v>1626</v>
      </c>
      <c r="H1373">
        <v>43</v>
      </c>
      <c r="I1373" t="s">
        <v>940</v>
      </c>
      <c r="J1373">
        <v>6</v>
      </c>
      <c r="K1373" t="s">
        <v>943</v>
      </c>
    </row>
    <row r="1374" spans="1:11" x14ac:dyDescent="0.25">
      <c r="A1374" t="s">
        <v>891</v>
      </c>
      <c r="B1374" t="s">
        <v>934</v>
      </c>
      <c r="C1374" s="3">
        <v>11946</v>
      </c>
      <c r="D1374" s="3">
        <v>9842</v>
      </c>
      <c r="E1374" s="3">
        <v>9125</v>
      </c>
      <c r="F1374">
        <v>1777</v>
      </c>
      <c r="G1374">
        <v>327</v>
      </c>
      <c r="H1374">
        <v>106</v>
      </c>
      <c r="I1374" t="s">
        <v>940</v>
      </c>
      <c r="J1374">
        <v>9</v>
      </c>
      <c r="K1374" t="s">
        <v>950</v>
      </c>
    </row>
    <row r="1375" spans="1:11" x14ac:dyDescent="0.25">
      <c r="A1375" t="s">
        <v>892</v>
      </c>
      <c r="B1375" t="s">
        <v>934</v>
      </c>
      <c r="C1375" s="3">
        <v>3436</v>
      </c>
      <c r="D1375" s="3">
        <v>197</v>
      </c>
      <c r="E1375" s="3">
        <v>7399</v>
      </c>
      <c r="F1375">
        <v>1387</v>
      </c>
      <c r="G1375">
        <v>1852</v>
      </c>
      <c r="H1375">
        <v>23</v>
      </c>
      <c r="I1375" t="s">
        <v>942</v>
      </c>
      <c r="J1375">
        <v>3</v>
      </c>
      <c r="K1375" t="s">
        <v>950</v>
      </c>
    </row>
    <row r="1376" spans="1:11" x14ac:dyDescent="0.25">
      <c r="A1376" t="s">
        <v>675</v>
      </c>
      <c r="B1376" t="s">
        <v>937</v>
      </c>
      <c r="C1376" s="3">
        <v>11291</v>
      </c>
      <c r="D1376" s="3">
        <v>10125</v>
      </c>
      <c r="E1376" s="3">
        <v>6171</v>
      </c>
      <c r="F1376">
        <v>960</v>
      </c>
      <c r="G1376">
        <v>206</v>
      </c>
      <c r="H1376">
        <v>82</v>
      </c>
      <c r="I1376" t="s">
        <v>938</v>
      </c>
      <c r="J1376">
        <v>7</v>
      </c>
      <c r="K1376" t="s">
        <v>945</v>
      </c>
    </row>
    <row r="1377" spans="1:11" x14ac:dyDescent="0.25">
      <c r="A1377" t="s">
        <v>644</v>
      </c>
      <c r="B1377" t="s">
        <v>935</v>
      </c>
      <c r="C1377" s="3">
        <v>10086</v>
      </c>
      <c r="D1377" s="3">
        <v>4094</v>
      </c>
      <c r="E1377" s="3">
        <v>9009</v>
      </c>
      <c r="F1377">
        <v>4573</v>
      </c>
      <c r="G1377">
        <v>1419</v>
      </c>
      <c r="H1377">
        <v>83</v>
      </c>
      <c r="I1377" t="s">
        <v>938</v>
      </c>
      <c r="J1377">
        <v>8</v>
      </c>
      <c r="K1377" t="s">
        <v>953</v>
      </c>
    </row>
    <row r="1378" spans="1:11" x14ac:dyDescent="0.25">
      <c r="A1378" t="s">
        <v>893</v>
      </c>
      <c r="B1378" t="s">
        <v>937</v>
      </c>
      <c r="C1378" s="3">
        <v>10593</v>
      </c>
      <c r="D1378" s="3">
        <v>5697</v>
      </c>
      <c r="E1378" s="3">
        <v>6274</v>
      </c>
      <c r="F1378">
        <v>3671</v>
      </c>
      <c r="G1378">
        <v>1225</v>
      </c>
      <c r="H1378">
        <v>116</v>
      </c>
      <c r="I1378" t="s">
        <v>942</v>
      </c>
      <c r="J1378">
        <v>2</v>
      </c>
      <c r="K1378" t="s">
        <v>944</v>
      </c>
    </row>
    <row r="1379" spans="1:11" x14ac:dyDescent="0.25">
      <c r="A1379" t="s">
        <v>894</v>
      </c>
      <c r="B1379" t="s">
        <v>936</v>
      </c>
      <c r="C1379" s="3">
        <v>6078</v>
      </c>
      <c r="D1379" s="3">
        <v>-163</v>
      </c>
      <c r="E1379" s="3">
        <v>4245</v>
      </c>
      <c r="F1379">
        <v>4301</v>
      </c>
      <c r="G1379">
        <v>1940</v>
      </c>
      <c r="H1379">
        <v>50</v>
      </c>
      <c r="I1379" t="s">
        <v>942</v>
      </c>
      <c r="J1379">
        <v>6</v>
      </c>
      <c r="K1379" t="s">
        <v>947</v>
      </c>
    </row>
    <row r="1380" spans="1:11" x14ac:dyDescent="0.25">
      <c r="A1380" t="s">
        <v>878</v>
      </c>
      <c r="B1380" t="s">
        <v>936</v>
      </c>
      <c r="C1380" s="3">
        <v>8084</v>
      </c>
      <c r="D1380" s="3">
        <v>4448</v>
      </c>
      <c r="E1380" s="3">
        <v>5474</v>
      </c>
      <c r="F1380">
        <v>3085</v>
      </c>
      <c r="G1380">
        <v>551</v>
      </c>
      <c r="H1380">
        <v>92</v>
      </c>
      <c r="I1380" t="s">
        <v>942</v>
      </c>
      <c r="J1380">
        <v>7</v>
      </c>
      <c r="K1380" t="s">
        <v>943</v>
      </c>
    </row>
    <row r="1381" spans="1:11" x14ac:dyDescent="0.25">
      <c r="A1381" t="s">
        <v>478</v>
      </c>
      <c r="B1381" t="s">
        <v>936</v>
      </c>
      <c r="C1381" s="3">
        <v>8492</v>
      </c>
      <c r="D1381" s="3">
        <v>4391</v>
      </c>
      <c r="E1381" s="3">
        <v>7247</v>
      </c>
      <c r="F1381">
        <v>3467</v>
      </c>
      <c r="G1381">
        <v>634</v>
      </c>
      <c r="H1381">
        <v>12</v>
      </c>
      <c r="I1381" t="s">
        <v>938</v>
      </c>
      <c r="J1381">
        <v>5</v>
      </c>
      <c r="K1381" t="s">
        <v>948</v>
      </c>
    </row>
    <row r="1382" spans="1:11" x14ac:dyDescent="0.25">
      <c r="A1382" t="s">
        <v>752</v>
      </c>
      <c r="B1382" t="s">
        <v>937</v>
      </c>
      <c r="C1382" s="3">
        <v>2426</v>
      </c>
      <c r="D1382" s="3">
        <v>-119</v>
      </c>
      <c r="E1382" s="3">
        <v>8045</v>
      </c>
      <c r="F1382">
        <v>950</v>
      </c>
      <c r="G1382">
        <v>1595</v>
      </c>
      <c r="H1382">
        <v>24</v>
      </c>
      <c r="I1382" t="s">
        <v>941</v>
      </c>
      <c r="J1382">
        <v>6</v>
      </c>
      <c r="K1382" t="s">
        <v>943</v>
      </c>
    </row>
    <row r="1383" spans="1:11" x14ac:dyDescent="0.25">
      <c r="A1383" t="s">
        <v>121</v>
      </c>
      <c r="B1383" t="s">
        <v>935</v>
      </c>
      <c r="C1383" s="3">
        <v>7006</v>
      </c>
      <c r="D1383" s="3">
        <v>1920</v>
      </c>
      <c r="E1383" s="3">
        <v>6189</v>
      </c>
      <c r="F1383">
        <v>3473</v>
      </c>
      <c r="G1383">
        <v>1613</v>
      </c>
      <c r="H1383">
        <v>92</v>
      </c>
      <c r="I1383" t="s">
        <v>938</v>
      </c>
      <c r="J1383">
        <v>10</v>
      </c>
      <c r="K1383" t="s">
        <v>954</v>
      </c>
    </row>
    <row r="1384" spans="1:11" x14ac:dyDescent="0.25">
      <c r="A1384" t="s">
        <v>895</v>
      </c>
      <c r="B1384" t="s">
        <v>934</v>
      </c>
      <c r="C1384" s="3">
        <v>10055</v>
      </c>
      <c r="D1384" s="3">
        <v>7376</v>
      </c>
      <c r="E1384" s="3">
        <v>4930</v>
      </c>
      <c r="F1384">
        <v>933</v>
      </c>
      <c r="G1384">
        <v>1746</v>
      </c>
      <c r="H1384">
        <v>81</v>
      </c>
      <c r="I1384" t="s">
        <v>939</v>
      </c>
      <c r="J1384">
        <v>1</v>
      </c>
      <c r="K1384" t="s">
        <v>953</v>
      </c>
    </row>
    <row r="1385" spans="1:11" x14ac:dyDescent="0.25">
      <c r="A1385" t="s">
        <v>887</v>
      </c>
      <c r="B1385" t="s">
        <v>937</v>
      </c>
      <c r="C1385" s="3">
        <v>7361</v>
      </c>
      <c r="D1385" s="3">
        <v>4460</v>
      </c>
      <c r="E1385" s="3">
        <v>6939</v>
      </c>
      <c r="F1385">
        <v>1169</v>
      </c>
      <c r="G1385">
        <v>1732</v>
      </c>
      <c r="H1385">
        <v>83</v>
      </c>
      <c r="I1385" t="s">
        <v>942</v>
      </c>
      <c r="J1385">
        <v>2</v>
      </c>
      <c r="K1385" t="s">
        <v>944</v>
      </c>
    </row>
    <row r="1386" spans="1:11" x14ac:dyDescent="0.25">
      <c r="A1386" t="s">
        <v>359</v>
      </c>
      <c r="B1386" t="s">
        <v>935</v>
      </c>
      <c r="C1386" s="3">
        <v>9932</v>
      </c>
      <c r="D1386" s="3">
        <v>5262</v>
      </c>
      <c r="E1386" s="3">
        <v>9322</v>
      </c>
      <c r="F1386">
        <v>3401</v>
      </c>
      <c r="G1386">
        <v>1269</v>
      </c>
      <c r="H1386">
        <v>100</v>
      </c>
      <c r="I1386" t="s">
        <v>938</v>
      </c>
      <c r="J1386">
        <v>10</v>
      </c>
      <c r="K1386" t="s">
        <v>949</v>
      </c>
    </row>
    <row r="1387" spans="1:11" x14ac:dyDescent="0.25">
      <c r="A1387" t="s">
        <v>896</v>
      </c>
      <c r="B1387" t="s">
        <v>936</v>
      </c>
      <c r="C1387" s="3">
        <v>5773</v>
      </c>
      <c r="D1387" s="3">
        <v>2120</v>
      </c>
      <c r="E1387" s="3">
        <v>4812</v>
      </c>
      <c r="F1387">
        <v>3213</v>
      </c>
      <c r="G1387">
        <v>440</v>
      </c>
      <c r="H1387">
        <v>63</v>
      </c>
      <c r="I1387" t="s">
        <v>940</v>
      </c>
      <c r="J1387">
        <v>1</v>
      </c>
      <c r="K1387" t="s">
        <v>943</v>
      </c>
    </row>
    <row r="1388" spans="1:11" x14ac:dyDescent="0.25">
      <c r="A1388" t="s">
        <v>624</v>
      </c>
      <c r="B1388" t="s">
        <v>936</v>
      </c>
      <c r="C1388" s="3">
        <v>3576</v>
      </c>
      <c r="D1388" s="3">
        <v>944</v>
      </c>
      <c r="E1388" s="3">
        <v>7535</v>
      </c>
      <c r="F1388">
        <v>1552</v>
      </c>
      <c r="G1388">
        <v>1080</v>
      </c>
      <c r="H1388">
        <v>105</v>
      </c>
      <c r="I1388" t="s">
        <v>941</v>
      </c>
      <c r="J1388">
        <v>6</v>
      </c>
      <c r="K1388" t="s">
        <v>943</v>
      </c>
    </row>
    <row r="1389" spans="1:11" x14ac:dyDescent="0.25">
      <c r="A1389" t="s">
        <v>897</v>
      </c>
      <c r="B1389" t="s">
        <v>936</v>
      </c>
      <c r="C1389" s="3">
        <v>11732</v>
      </c>
      <c r="D1389" s="3">
        <v>8706</v>
      </c>
      <c r="E1389" s="3">
        <v>7296</v>
      </c>
      <c r="F1389">
        <v>2315</v>
      </c>
      <c r="G1389">
        <v>711</v>
      </c>
      <c r="H1389">
        <v>69</v>
      </c>
      <c r="I1389" t="s">
        <v>938</v>
      </c>
      <c r="J1389">
        <v>10</v>
      </c>
      <c r="K1389" t="s">
        <v>944</v>
      </c>
    </row>
    <row r="1390" spans="1:11" x14ac:dyDescent="0.25">
      <c r="A1390" t="s">
        <v>70</v>
      </c>
      <c r="B1390" t="s">
        <v>934</v>
      </c>
      <c r="C1390" s="3">
        <v>10501</v>
      </c>
      <c r="D1390" s="3">
        <v>6392</v>
      </c>
      <c r="E1390" s="3">
        <v>8795</v>
      </c>
      <c r="F1390">
        <v>2283</v>
      </c>
      <c r="G1390">
        <v>1826</v>
      </c>
      <c r="H1390">
        <v>78</v>
      </c>
      <c r="I1390" t="s">
        <v>941</v>
      </c>
      <c r="J1390">
        <v>1</v>
      </c>
      <c r="K1390" t="s">
        <v>944</v>
      </c>
    </row>
    <row r="1391" spans="1:11" x14ac:dyDescent="0.25">
      <c r="A1391" t="s">
        <v>723</v>
      </c>
      <c r="B1391" t="s">
        <v>935</v>
      </c>
      <c r="C1391" s="3">
        <v>10446</v>
      </c>
      <c r="D1391" s="3">
        <v>6848</v>
      </c>
      <c r="E1391" s="3">
        <v>7274</v>
      </c>
      <c r="F1391">
        <v>1706</v>
      </c>
      <c r="G1391">
        <v>1892</v>
      </c>
      <c r="H1391">
        <v>51</v>
      </c>
      <c r="I1391" t="s">
        <v>942</v>
      </c>
      <c r="J1391">
        <v>8</v>
      </c>
      <c r="K1391" t="s">
        <v>950</v>
      </c>
    </row>
    <row r="1392" spans="1:11" x14ac:dyDescent="0.25">
      <c r="A1392" t="s">
        <v>503</v>
      </c>
      <c r="B1392" t="s">
        <v>934</v>
      </c>
      <c r="C1392" s="3">
        <v>9090</v>
      </c>
      <c r="D1392" s="3">
        <v>3023</v>
      </c>
      <c r="E1392" s="3">
        <v>9079</v>
      </c>
      <c r="F1392">
        <v>4406</v>
      </c>
      <c r="G1392">
        <v>1661</v>
      </c>
      <c r="H1392">
        <v>43</v>
      </c>
      <c r="I1392" t="s">
        <v>942</v>
      </c>
      <c r="J1392">
        <v>7</v>
      </c>
      <c r="K1392" t="s">
        <v>952</v>
      </c>
    </row>
    <row r="1393" spans="1:11" x14ac:dyDescent="0.25">
      <c r="A1393" t="s">
        <v>55</v>
      </c>
      <c r="B1393" t="s">
        <v>935</v>
      </c>
      <c r="C1393" s="3">
        <v>8338</v>
      </c>
      <c r="D1393" s="3">
        <v>3752</v>
      </c>
      <c r="E1393" s="3">
        <v>8729</v>
      </c>
      <c r="F1393">
        <v>3773</v>
      </c>
      <c r="G1393">
        <v>813</v>
      </c>
      <c r="H1393">
        <v>51</v>
      </c>
      <c r="I1393" t="s">
        <v>942</v>
      </c>
      <c r="J1393">
        <v>1</v>
      </c>
      <c r="K1393" t="s">
        <v>950</v>
      </c>
    </row>
    <row r="1394" spans="1:11" x14ac:dyDescent="0.25">
      <c r="A1394" t="s">
        <v>136</v>
      </c>
      <c r="B1394" t="s">
        <v>935</v>
      </c>
      <c r="C1394" s="3">
        <v>6261</v>
      </c>
      <c r="D1394" s="3">
        <v>3103</v>
      </c>
      <c r="E1394" s="3">
        <v>8242</v>
      </c>
      <c r="F1394">
        <v>2808</v>
      </c>
      <c r="G1394">
        <v>350</v>
      </c>
      <c r="H1394">
        <v>53</v>
      </c>
      <c r="I1394" t="s">
        <v>939</v>
      </c>
      <c r="J1394">
        <v>5</v>
      </c>
      <c r="K1394" t="s">
        <v>949</v>
      </c>
    </row>
    <row r="1395" spans="1:11" x14ac:dyDescent="0.25">
      <c r="A1395" t="s">
        <v>889</v>
      </c>
      <c r="B1395" t="s">
        <v>937</v>
      </c>
      <c r="C1395" s="3">
        <v>4566</v>
      </c>
      <c r="D1395" s="3">
        <v>978</v>
      </c>
      <c r="E1395" s="3">
        <v>4673</v>
      </c>
      <c r="F1395">
        <v>1661</v>
      </c>
      <c r="G1395">
        <v>1927</v>
      </c>
      <c r="H1395">
        <v>86</v>
      </c>
      <c r="I1395" t="s">
        <v>942</v>
      </c>
      <c r="J1395">
        <v>5</v>
      </c>
      <c r="K1395" t="s">
        <v>953</v>
      </c>
    </row>
    <row r="1396" spans="1:11" x14ac:dyDescent="0.25">
      <c r="A1396" t="s">
        <v>228</v>
      </c>
      <c r="B1396" t="s">
        <v>934</v>
      </c>
      <c r="C1396" s="3">
        <v>10780</v>
      </c>
      <c r="D1396" s="3">
        <v>5749</v>
      </c>
      <c r="E1396" s="3">
        <v>8667</v>
      </c>
      <c r="F1396">
        <v>4330</v>
      </c>
      <c r="G1396">
        <v>701</v>
      </c>
      <c r="H1396">
        <v>81</v>
      </c>
      <c r="I1396" t="s">
        <v>942</v>
      </c>
      <c r="J1396">
        <v>1</v>
      </c>
      <c r="K1396" t="s">
        <v>945</v>
      </c>
    </row>
    <row r="1397" spans="1:11" x14ac:dyDescent="0.25">
      <c r="A1397" t="s">
        <v>898</v>
      </c>
      <c r="B1397" t="s">
        <v>935</v>
      </c>
      <c r="C1397" s="3">
        <v>6785</v>
      </c>
      <c r="D1397" s="3">
        <v>3637</v>
      </c>
      <c r="E1397" s="3">
        <v>7424</v>
      </c>
      <c r="F1397">
        <v>1211</v>
      </c>
      <c r="G1397">
        <v>1937</v>
      </c>
      <c r="H1397">
        <v>32</v>
      </c>
      <c r="I1397" t="s">
        <v>938</v>
      </c>
      <c r="J1397">
        <v>9</v>
      </c>
      <c r="K1397" t="s">
        <v>949</v>
      </c>
    </row>
    <row r="1398" spans="1:11" x14ac:dyDescent="0.25">
      <c r="A1398" t="s">
        <v>721</v>
      </c>
      <c r="B1398" t="s">
        <v>936</v>
      </c>
      <c r="C1398" s="3">
        <v>9832</v>
      </c>
      <c r="D1398" s="3">
        <v>7113</v>
      </c>
      <c r="E1398" s="3">
        <v>9088</v>
      </c>
      <c r="F1398">
        <v>1977</v>
      </c>
      <c r="G1398">
        <v>742</v>
      </c>
      <c r="H1398">
        <v>91</v>
      </c>
      <c r="I1398" t="s">
        <v>938</v>
      </c>
      <c r="J1398">
        <v>10</v>
      </c>
      <c r="K1398" t="s">
        <v>947</v>
      </c>
    </row>
    <row r="1399" spans="1:11" x14ac:dyDescent="0.25">
      <c r="A1399" t="s">
        <v>623</v>
      </c>
      <c r="B1399" t="s">
        <v>936</v>
      </c>
      <c r="C1399" s="3">
        <v>3509</v>
      </c>
      <c r="D1399" s="3">
        <v>1459</v>
      </c>
      <c r="E1399" s="3">
        <v>5285</v>
      </c>
      <c r="F1399">
        <v>1284</v>
      </c>
      <c r="G1399">
        <v>766</v>
      </c>
      <c r="H1399">
        <v>57</v>
      </c>
      <c r="I1399" t="s">
        <v>939</v>
      </c>
      <c r="J1399">
        <v>5</v>
      </c>
      <c r="K1399" t="s">
        <v>954</v>
      </c>
    </row>
    <row r="1400" spans="1:11" x14ac:dyDescent="0.25">
      <c r="A1400" t="s">
        <v>437</v>
      </c>
      <c r="B1400" t="s">
        <v>935</v>
      </c>
      <c r="C1400" s="3">
        <v>8023</v>
      </c>
      <c r="D1400" s="3">
        <v>5284</v>
      </c>
      <c r="E1400" s="3">
        <v>4783</v>
      </c>
      <c r="F1400">
        <v>2165</v>
      </c>
      <c r="G1400">
        <v>574</v>
      </c>
      <c r="H1400">
        <v>93</v>
      </c>
      <c r="I1400" t="s">
        <v>938</v>
      </c>
      <c r="J1400">
        <v>6</v>
      </c>
      <c r="K1400" t="s">
        <v>952</v>
      </c>
    </row>
    <row r="1401" spans="1:11" x14ac:dyDescent="0.25">
      <c r="A1401" t="s">
        <v>899</v>
      </c>
      <c r="B1401" t="s">
        <v>935</v>
      </c>
      <c r="C1401" s="3">
        <v>2104</v>
      </c>
      <c r="D1401" s="3">
        <v>-485</v>
      </c>
      <c r="E1401" s="3">
        <v>6709</v>
      </c>
      <c r="F1401">
        <v>1734</v>
      </c>
      <c r="G1401">
        <v>855</v>
      </c>
      <c r="H1401">
        <v>93</v>
      </c>
      <c r="I1401" t="s">
        <v>939</v>
      </c>
      <c r="J1401">
        <v>3</v>
      </c>
      <c r="K1401" t="s">
        <v>945</v>
      </c>
    </row>
    <row r="1402" spans="1:11" x14ac:dyDescent="0.25">
      <c r="A1402" t="s">
        <v>900</v>
      </c>
      <c r="B1402" t="s">
        <v>936</v>
      </c>
      <c r="C1402" s="3">
        <v>2597</v>
      </c>
      <c r="D1402" s="3">
        <v>-3070</v>
      </c>
      <c r="E1402" s="3">
        <v>6405</v>
      </c>
      <c r="F1402">
        <v>3678</v>
      </c>
      <c r="G1402">
        <v>1989</v>
      </c>
      <c r="H1402">
        <v>63</v>
      </c>
      <c r="I1402" t="s">
        <v>938</v>
      </c>
      <c r="J1402">
        <v>7</v>
      </c>
      <c r="K1402" t="s">
        <v>947</v>
      </c>
    </row>
    <row r="1403" spans="1:11" x14ac:dyDescent="0.25">
      <c r="A1403" t="s">
        <v>761</v>
      </c>
      <c r="B1403" t="s">
        <v>937</v>
      </c>
      <c r="C1403" s="3">
        <v>4234</v>
      </c>
      <c r="D1403" s="3">
        <v>1587</v>
      </c>
      <c r="E1403" s="3">
        <v>7964</v>
      </c>
      <c r="F1403">
        <v>1277</v>
      </c>
      <c r="G1403">
        <v>1370</v>
      </c>
      <c r="H1403">
        <v>63</v>
      </c>
      <c r="I1403" t="s">
        <v>940</v>
      </c>
      <c r="J1403">
        <v>1</v>
      </c>
      <c r="K1403" t="s">
        <v>947</v>
      </c>
    </row>
    <row r="1404" spans="1:11" x14ac:dyDescent="0.25">
      <c r="A1404" t="s">
        <v>445</v>
      </c>
      <c r="B1404" t="s">
        <v>936</v>
      </c>
      <c r="C1404" s="3">
        <v>2507</v>
      </c>
      <c r="D1404" s="3">
        <v>262</v>
      </c>
      <c r="E1404" s="3">
        <v>6343</v>
      </c>
      <c r="F1404">
        <v>1036</v>
      </c>
      <c r="G1404">
        <v>1209</v>
      </c>
      <c r="H1404">
        <v>74</v>
      </c>
      <c r="I1404" t="s">
        <v>939</v>
      </c>
      <c r="J1404">
        <v>6</v>
      </c>
      <c r="K1404" t="s">
        <v>943</v>
      </c>
    </row>
    <row r="1405" spans="1:11" x14ac:dyDescent="0.25">
      <c r="A1405" t="s">
        <v>855</v>
      </c>
      <c r="B1405" t="s">
        <v>936</v>
      </c>
      <c r="C1405" s="3">
        <v>11255</v>
      </c>
      <c r="D1405" s="3">
        <v>6394</v>
      </c>
      <c r="E1405" s="3">
        <v>6465</v>
      </c>
      <c r="F1405">
        <v>4370</v>
      </c>
      <c r="G1405">
        <v>491</v>
      </c>
      <c r="H1405">
        <v>20</v>
      </c>
      <c r="I1405" t="s">
        <v>942</v>
      </c>
      <c r="J1405">
        <v>4</v>
      </c>
      <c r="K1405" t="s">
        <v>954</v>
      </c>
    </row>
    <row r="1406" spans="1:11" x14ac:dyDescent="0.25">
      <c r="A1406" t="s">
        <v>311</v>
      </c>
      <c r="B1406" t="s">
        <v>936</v>
      </c>
      <c r="C1406" s="3">
        <v>5720</v>
      </c>
      <c r="D1406" s="3">
        <v>1788</v>
      </c>
      <c r="E1406" s="3">
        <v>4642</v>
      </c>
      <c r="F1406">
        <v>3297</v>
      </c>
      <c r="G1406">
        <v>635</v>
      </c>
      <c r="H1406">
        <v>92</v>
      </c>
      <c r="I1406" t="s">
        <v>938</v>
      </c>
      <c r="J1406">
        <v>8</v>
      </c>
      <c r="K1406" t="s">
        <v>950</v>
      </c>
    </row>
    <row r="1407" spans="1:11" x14ac:dyDescent="0.25">
      <c r="A1407" t="s">
        <v>901</v>
      </c>
      <c r="B1407" t="s">
        <v>937</v>
      </c>
      <c r="C1407" s="3">
        <v>8955</v>
      </c>
      <c r="D1407" s="3">
        <v>6138</v>
      </c>
      <c r="E1407" s="3">
        <v>8904</v>
      </c>
      <c r="F1407">
        <v>1594</v>
      </c>
      <c r="G1407">
        <v>1223</v>
      </c>
      <c r="H1407">
        <v>114</v>
      </c>
      <c r="I1407" t="s">
        <v>941</v>
      </c>
      <c r="J1407">
        <v>3</v>
      </c>
      <c r="K1407" t="s">
        <v>946</v>
      </c>
    </row>
    <row r="1408" spans="1:11" x14ac:dyDescent="0.25">
      <c r="A1408" t="s">
        <v>271</v>
      </c>
      <c r="B1408" t="s">
        <v>935</v>
      </c>
      <c r="C1408" s="3">
        <v>7632</v>
      </c>
      <c r="D1408" s="3">
        <v>3707</v>
      </c>
      <c r="E1408" s="3">
        <v>6719</v>
      </c>
      <c r="F1408">
        <v>2303</v>
      </c>
      <c r="G1408">
        <v>1622</v>
      </c>
      <c r="H1408">
        <v>44</v>
      </c>
      <c r="I1408" t="s">
        <v>939</v>
      </c>
      <c r="J1408">
        <v>4</v>
      </c>
      <c r="K1408" t="s">
        <v>947</v>
      </c>
    </row>
    <row r="1409" spans="1:11" x14ac:dyDescent="0.25">
      <c r="A1409" t="s">
        <v>614</v>
      </c>
      <c r="B1409" t="s">
        <v>934</v>
      </c>
      <c r="C1409" s="3">
        <v>2592</v>
      </c>
      <c r="D1409" s="3">
        <v>-1416</v>
      </c>
      <c r="E1409" s="3">
        <v>5955</v>
      </c>
      <c r="F1409">
        <v>2996</v>
      </c>
      <c r="G1409">
        <v>1012</v>
      </c>
      <c r="H1409">
        <v>98</v>
      </c>
      <c r="I1409" t="s">
        <v>942</v>
      </c>
      <c r="J1409">
        <v>3</v>
      </c>
      <c r="K1409" t="s">
        <v>945</v>
      </c>
    </row>
    <row r="1410" spans="1:11" x14ac:dyDescent="0.25">
      <c r="A1410" t="s">
        <v>902</v>
      </c>
      <c r="B1410" t="s">
        <v>936</v>
      </c>
      <c r="C1410" s="3">
        <v>5707</v>
      </c>
      <c r="D1410" s="3">
        <v>-911</v>
      </c>
      <c r="E1410" s="3">
        <v>8876</v>
      </c>
      <c r="F1410">
        <v>4973</v>
      </c>
      <c r="G1410">
        <v>1645</v>
      </c>
      <c r="H1410">
        <v>51</v>
      </c>
      <c r="I1410" t="s">
        <v>942</v>
      </c>
      <c r="J1410">
        <v>5</v>
      </c>
      <c r="K1410" t="s">
        <v>954</v>
      </c>
    </row>
    <row r="1411" spans="1:11" x14ac:dyDescent="0.25">
      <c r="A1411" t="s">
        <v>134</v>
      </c>
      <c r="B1411" t="s">
        <v>934</v>
      </c>
      <c r="C1411" s="3">
        <v>7065</v>
      </c>
      <c r="D1411" s="3">
        <v>4407</v>
      </c>
      <c r="E1411" s="3">
        <v>9271</v>
      </c>
      <c r="F1411">
        <v>803</v>
      </c>
      <c r="G1411">
        <v>1855</v>
      </c>
      <c r="H1411">
        <v>55</v>
      </c>
      <c r="I1411" t="s">
        <v>938</v>
      </c>
      <c r="J1411">
        <v>8</v>
      </c>
      <c r="K1411" t="s">
        <v>953</v>
      </c>
    </row>
    <row r="1412" spans="1:11" x14ac:dyDescent="0.25">
      <c r="A1412" t="s">
        <v>903</v>
      </c>
      <c r="B1412" t="s">
        <v>935</v>
      </c>
      <c r="C1412" s="3">
        <v>7032</v>
      </c>
      <c r="D1412" s="3">
        <v>880</v>
      </c>
      <c r="E1412" s="3">
        <v>5189</v>
      </c>
      <c r="F1412">
        <v>4324</v>
      </c>
      <c r="G1412">
        <v>1828</v>
      </c>
      <c r="H1412">
        <v>102</v>
      </c>
      <c r="I1412" t="s">
        <v>939</v>
      </c>
      <c r="J1412">
        <v>10</v>
      </c>
      <c r="K1412" t="s">
        <v>950</v>
      </c>
    </row>
    <row r="1413" spans="1:11" x14ac:dyDescent="0.25">
      <c r="A1413" t="s">
        <v>458</v>
      </c>
      <c r="B1413" t="s">
        <v>936</v>
      </c>
      <c r="C1413" s="3">
        <v>2245</v>
      </c>
      <c r="D1413" s="3">
        <v>-2779</v>
      </c>
      <c r="E1413" s="3">
        <v>4397</v>
      </c>
      <c r="F1413">
        <v>3465</v>
      </c>
      <c r="G1413">
        <v>1559</v>
      </c>
      <c r="H1413">
        <v>21</v>
      </c>
      <c r="I1413" t="s">
        <v>938</v>
      </c>
      <c r="J1413">
        <v>2</v>
      </c>
      <c r="K1413" t="s">
        <v>947</v>
      </c>
    </row>
    <row r="1414" spans="1:11" x14ac:dyDescent="0.25">
      <c r="A1414" t="s">
        <v>904</v>
      </c>
      <c r="B1414" t="s">
        <v>935</v>
      </c>
      <c r="C1414" s="3">
        <v>2245</v>
      </c>
      <c r="D1414" s="3">
        <v>292</v>
      </c>
      <c r="E1414" s="3">
        <v>6129</v>
      </c>
      <c r="F1414">
        <v>993</v>
      </c>
      <c r="G1414">
        <v>960</v>
      </c>
      <c r="H1414">
        <v>65</v>
      </c>
      <c r="I1414" t="s">
        <v>940</v>
      </c>
      <c r="J1414">
        <v>2</v>
      </c>
      <c r="K1414" t="s">
        <v>947</v>
      </c>
    </row>
    <row r="1415" spans="1:11" x14ac:dyDescent="0.25">
      <c r="A1415" t="s">
        <v>905</v>
      </c>
      <c r="B1415" t="s">
        <v>936</v>
      </c>
      <c r="C1415" s="3">
        <v>5287</v>
      </c>
      <c r="D1415" s="3">
        <v>3076</v>
      </c>
      <c r="E1415" s="3">
        <v>7176</v>
      </c>
      <c r="F1415">
        <v>1979</v>
      </c>
      <c r="G1415">
        <v>232</v>
      </c>
      <c r="H1415">
        <v>119</v>
      </c>
      <c r="I1415" t="s">
        <v>939</v>
      </c>
      <c r="J1415">
        <v>10</v>
      </c>
      <c r="K1415" t="s">
        <v>948</v>
      </c>
    </row>
    <row r="1416" spans="1:11" x14ac:dyDescent="0.25">
      <c r="A1416" t="s">
        <v>676</v>
      </c>
      <c r="B1416" t="s">
        <v>934</v>
      </c>
      <c r="C1416" s="3">
        <v>3173</v>
      </c>
      <c r="D1416" s="3">
        <v>-1406</v>
      </c>
      <c r="E1416" s="3">
        <v>5299</v>
      </c>
      <c r="F1416">
        <v>3580</v>
      </c>
      <c r="G1416">
        <v>999</v>
      </c>
      <c r="H1416">
        <v>32</v>
      </c>
      <c r="I1416" t="s">
        <v>941</v>
      </c>
      <c r="J1416">
        <v>1</v>
      </c>
      <c r="K1416" t="s">
        <v>947</v>
      </c>
    </row>
    <row r="1417" spans="1:11" x14ac:dyDescent="0.25">
      <c r="A1417" t="s">
        <v>705</v>
      </c>
      <c r="B1417" t="s">
        <v>937</v>
      </c>
      <c r="C1417" s="3">
        <v>3167</v>
      </c>
      <c r="D1417" s="3">
        <v>-1703</v>
      </c>
      <c r="E1417" s="3">
        <v>8854</v>
      </c>
      <c r="F1417">
        <v>2915</v>
      </c>
      <c r="G1417">
        <v>1955</v>
      </c>
      <c r="H1417">
        <v>13</v>
      </c>
      <c r="I1417" t="s">
        <v>940</v>
      </c>
      <c r="J1417">
        <v>2</v>
      </c>
      <c r="K1417" t="s">
        <v>945</v>
      </c>
    </row>
    <row r="1418" spans="1:11" x14ac:dyDescent="0.25">
      <c r="A1418" t="s">
        <v>906</v>
      </c>
      <c r="B1418" t="s">
        <v>934</v>
      </c>
      <c r="C1418" s="3">
        <v>4927</v>
      </c>
      <c r="D1418" s="3">
        <v>2261</v>
      </c>
      <c r="E1418" s="3">
        <v>7092</v>
      </c>
      <c r="F1418">
        <v>1710</v>
      </c>
      <c r="G1418">
        <v>956</v>
      </c>
      <c r="H1418">
        <v>40</v>
      </c>
      <c r="I1418" t="s">
        <v>938</v>
      </c>
      <c r="J1418">
        <v>9</v>
      </c>
      <c r="K1418" t="s">
        <v>951</v>
      </c>
    </row>
    <row r="1419" spans="1:11" x14ac:dyDescent="0.25">
      <c r="A1419" t="s">
        <v>907</v>
      </c>
      <c r="B1419" t="s">
        <v>936</v>
      </c>
      <c r="C1419" s="3">
        <v>3880</v>
      </c>
      <c r="D1419" s="3">
        <v>2415</v>
      </c>
      <c r="E1419" s="3">
        <v>9505</v>
      </c>
      <c r="F1419">
        <v>1095</v>
      </c>
      <c r="G1419">
        <v>370</v>
      </c>
      <c r="H1419">
        <v>24</v>
      </c>
      <c r="I1419" t="s">
        <v>940</v>
      </c>
      <c r="J1419">
        <v>8</v>
      </c>
      <c r="K1419" t="s">
        <v>947</v>
      </c>
    </row>
    <row r="1420" spans="1:11" x14ac:dyDescent="0.25">
      <c r="A1420" t="s">
        <v>908</v>
      </c>
      <c r="B1420" t="s">
        <v>937</v>
      </c>
      <c r="C1420" s="3">
        <v>8480</v>
      </c>
      <c r="D1420" s="3">
        <v>5939</v>
      </c>
      <c r="E1420" s="3">
        <v>4208</v>
      </c>
      <c r="F1420">
        <v>1055</v>
      </c>
      <c r="G1420">
        <v>1486</v>
      </c>
      <c r="H1420">
        <v>60</v>
      </c>
      <c r="I1420" t="s">
        <v>938</v>
      </c>
      <c r="J1420">
        <v>8</v>
      </c>
      <c r="K1420" t="s">
        <v>947</v>
      </c>
    </row>
    <row r="1421" spans="1:11" x14ac:dyDescent="0.25">
      <c r="A1421" t="s">
        <v>713</v>
      </c>
      <c r="B1421" t="s">
        <v>934</v>
      </c>
      <c r="C1421" s="3">
        <v>6457</v>
      </c>
      <c r="D1421" s="3">
        <v>1170</v>
      </c>
      <c r="E1421" s="3">
        <v>9814</v>
      </c>
      <c r="F1421">
        <v>4932</v>
      </c>
      <c r="G1421">
        <v>355</v>
      </c>
      <c r="H1421">
        <v>120</v>
      </c>
      <c r="I1421" t="s">
        <v>940</v>
      </c>
      <c r="J1421">
        <v>5</v>
      </c>
      <c r="K1421" t="s">
        <v>945</v>
      </c>
    </row>
    <row r="1422" spans="1:11" x14ac:dyDescent="0.25">
      <c r="A1422" t="s">
        <v>618</v>
      </c>
      <c r="B1422" t="s">
        <v>934</v>
      </c>
      <c r="C1422" s="3">
        <v>5508</v>
      </c>
      <c r="D1422" s="3">
        <v>2732</v>
      </c>
      <c r="E1422" s="3">
        <v>6389</v>
      </c>
      <c r="F1422">
        <v>968</v>
      </c>
      <c r="G1422">
        <v>1808</v>
      </c>
      <c r="H1422">
        <v>98</v>
      </c>
      <c r="I1422" t="s">
        <v>940</v>
      </c>
      <c r="J1422">
        <v>5</v>
      </c>
      <c r="K1422" t="s">
        <v>947</v>
      </c>
    </row>
    <row r="1423" spans="1:11" x14ac:dyDescent="0.25">
      <c r="A1423" t="s">
        <v>215</v>
      </c>
      <c r="B1423" t="s">
        <v>936</v>
      </c>
      <c r="C1423" s="3">
        <v>4586</v>
      </c>
      <c r="D1423" s="3">
        <v>1173</v>
      </c>
      <c r="E1423" s="3">
        <v>4671</v>
      </c>
      <c r="F1423">
        <v>2238</v>
      </c>
      <c r="G1423">
        <v>1175</v>
      </c>
      <c r="H1423">
        <v>109</v>
      </c>
      <c r="I1423" t="s">
        <v>938</v>
      </c>
      <c r="J1423">
        <v>2</v>
      </c>
      <c r="K1423" t="s">
        <v>945</v>
      </c>
    </row>
    <row r="1424" spans="1:11" x14ac:dyDescent="0.25">
      <c r="A1424" t="s">
        <v>909</v>
      </c>
      <c r="B1424" t="s">
        <v>937</v>
      </c>
      <c r="C1424" s="3">
        <v>5650</v>
      </c>
      <c r="D1424" s="3">
        <v>3115</v>
      </c>
      <c r="E1424" s="3">
        <v>4246</v>
      </c>
      <c r="F1424">
        <v>2313</v>
      </c>
      <c r="G1424">
        <v>222</v>
      </c>
      <c r="H1424">
        <v>101</v>
      </c>
      <c r="I1424" t="s">
        <v>940</v>
      </c>
      <c r="J1424">
        <v>10</v>
      </c>
      <c r="K1424" t="s">
        <v>953</v>
      </c>
    </row>
    <row r="1425" spans="1:11" x14ac:dyDescent="0.25">
      <c r="A1425" t="s">
        <v>371</v>
      </c>
      <c r="B1425" t="s">
        <v>937</v>
      </c>
      <c r="C1425" s="3">
        <v>10235</v>
      </c>
      <c r="D1425" s="3">
        <v>6868</v>
      </c>
      <c r="E1425" s="3">
        <v>8168</v>
      </c>
      <c r="F1425">
        <v>2314</v>
      </c>
      <c r="G1425">
        <v>1053</v>
      </c>
      <c r="H1425">
        <v>92</v>
      </c>
      <c r="I1425" t="s">
        <v>939</v>
      </c>
      <c r="J1425">
        <v>7</v>
      </c>
      <c r="K1425" t="s">
        <v>943</v>
      </c>
    </row>
    <row r="1426" spans="1:11" x14ac:dyDescent="0.25">
      <c r="A1426" t="s">
        <v>593</v>
      </c>
      <c r="B1426" t="s">
        <v>935</v>
      </c>
      <c r="C1426" s="3">
        <v>6749</v>
      </c>
      <c r="D1426" s="3">
        <v>2448</v>
      </c>
      <c r="E1426" s="3">
        <v>7818</v>
      </c>
      <c r="F1426">
        <v>2413</v>
      </c>
      <c r="G1426">
        <v>1888</v>
      </c>
      <c r="H1426">
        <v>111</v>
      </c>
      <c r="I1426" t="s">
        <v>940</v>
      </c>
      <c r="J1426">
        <v>3</v>
      </c>
      <c r="K1426" t="s">
        <v>944</v>
      </c>
    </row>
    <row r="1427" spans="1:11" x14ac:dyDescent="0.25">
      <c r="A1427" t="s">
        <v>910</v>
      </c>
      <c r="B1427" t="s">
        <v>934</v>
      </c>
      <c r="C1427" s="3">
        <v>8460</v>
      </c>
      <c r="D1427" s="3">
        <v>1780</v>
      </c>
      <c r="E1427" s="3">
        <v>5898</v>
      </c>
      <c r="F1427">
        <v>4690</v>
      </c>
      <c r="G1427">
        <v>1990</v>
      </c>
      <c r="H1427">
        <v>81</v>
      </c>
      <c r="I1427" t="s">
        <v>941</v>
      </c>
      <c r="J1427">
        <v>5</v>
      </c>
      <c r="K1427" t="s">
        <v>950</v>
      </c>
    </row>
    <row r="1428" spans="1:11" x14ac:dyDescent="0.25">
      <c r="A1428" t="s">
        <v>363</v>
      </c>
      <c r="B1428" t="s">
        <v>936</v>
      </c>
      <c r="C1428" s="3">
        <v>2620</v>
      </c>
      <c r="D1428" s="3">
        <v>-1062</v>
      </c>
      <c r="E1428" s="3">
        <v>9792</v>
      </c>
      <c r="F1428">
        <v>2310</v>
      </c>
      <c r="G1428">
        <v>1372</v>
      </c>
      <c r="H1428">
        <v>78</v>
      </c>
      <c r="I1428" t="s">
        <v>942</v>
      </c>
      <c r="J1428">
        <v>1</v>
      </c>
      <c r="K1428" t="s">
        <v>950</v>
      </c>
    </row>
    <row r="1429" spans="1:11" x14ac:dyDescent="0.25">
      <c r="A1429" t="s">
        <v>911</v>
      </c>
      <c r="B1429" t="s">
        <v>936</v>
      </c>
      <c r="C1429" s="3">
        <v>4059</v>
      </c>
      <c r="D1429" s="3">
        <v>1480</v>
      </c>
      <c r="E1429" s="3">
        <v>8936</v>
      </c>
      <c r="F1429">
        <v>1500</v>
      </c>
      <c r="G1429">
        <v>1079</v>
      </c>
      <c r="H1429">
        <v>104</v>
      </c>
      <c r="I1429" t="s">
        <v>940</v>
      </c>
      <c r="J1429">
        <v>10</v>
      </c>
      <c r="K1429" t="s">
        <v>951</v>
      </c>
    </row>
    <row r="1430" spans="1:11" x14ac:dyDescent="0.25">
      <c r="A1430" t="s">
        <v>912</v>
      </c>
      <c r="B1430" t="s">
        <v>936</v>
      </c>
      <c r="C1430" s="3">
        <v>9243</v>
      </c>
      <c r="D1430" s="3">
        <v>5725</v>
      </c>
      <c r="E1430" s="3">
        <v>9237</v>
      </c>
      <c r="F1430">
        <v>1972</v>
      </c>
      <c r="G1430">
        <v>1546</v>
      </c>
      <c r="H1430">
        <v>87</v>
      </c>
      <c r="I1430" t="s">
        <v>942</v>
      </c>
      <c r="J1430">
        <v>7</v>
      </c>
      <c r="K1430" t="s">
        <v>949</v>
      </c>
    </row>
    <row r="1431" spans="1:11" x14ac:dyDescent="0.25">
      <c r="A1431" t="s">
        <v>707</v>
      </c>
      <c r="B1431" t="s">
        <v>936</v>
      </c>
      <c r="C1431" s="3">
        <v>7023</v>
      </c>
      <c r="D1431" s="3">
        <v>3353</v>
      </c>
      <c r="E1431" s="3">
        <v>5258</v>
      </c>
      <c r="F1431">
        <v>2897</v>
      </c>
      <c r="G1431">
        <v>773</v>
      </c>
      <c r="H1431">
        <v>78</v>
      </c>
      <c r="I1431" t="s">
        <v>939</v>
      </c>
      <c r="J1431">
        <v>6</v>
      </c>
      <c r="K1431" t="s">
        <v>943</v>
      </c>
    </row>
    <row r="1432" spans="1:11" x14ac:dyDescent="0.25">
      <c r="A1432" t="s">
        <v>913</v>
      </c>
      <c r="B1432" t="s">
        <v>937</v>
      </c>
      <c r="C1432" s="3">
        <v>8487</v>
      </c>
      <c r="D1432" s="3">
        <v>3602</v>
      </c>
      <c r="E1432" s="3">
        <v>5629</v>
      </c>
      <c r="F1432">
        <v>3032</v>
      </c>
      <c r="G1432">
        <v>1853</v>
      </c>
      <c r="H1432">
        <v>105</v>
      </c>
      <c r="I1432" t="s">
        <v>939</v>
      </c>
      <c r="J1432">
        <v>1</v>
      </c>
      <c r="K1432" t="s">
        <v>945</v>
      </c>
    </row>
    <row r="1433" spans="1:11" x14ac:dyDescent="0.25">
      <c r="A1433" t="s">
        <v>556</v>
      </c>
      <c r="B1433" t="s">
        <v>937</v>
      </c>
      <c r="C1433" s="3">
        <v>6420</v>
      </c>
      <c r="D1433" s="3">
        <v>2769</v>
      </c>
      <c r="E1433" s="3">
        <v>7514</v>
      </c>
      <c r="F1433">
        <v>3272</v>
      </c>
      <c r="G1433">
        <v>379</v>
      </c>
      <c r="H1433">
        <v>13</v>
      </c>
      <c r="I1433" t="s">
        <v>938</v>
      </c>
      <c r="J1433">
        <v>9</v>
      </c>
      <c r="K1433" t="s">
        <v>949</v>
      </c>
    </row>
    <row r="1434" spans="1:11" x14ac:dyDescent="0.25">
      <c r="A1434" t="s">
        <v>871</v>
      </c>
      <c r="B1434" t="s">
        <v>935</v>
      </c>
      <c r="C1434" s="3">
        <v>10799</v>
      </c>
      <c r="D1434" s="3">
        <v>7354</v>
      </c>
      <c r="E1434" s="3">
        <v>7690</v>
      </c>
      <c r="F1434">
        <v>1968</v>
      </c>
      <c r="G1434">
        <v>1477</v>
      </c>
      <c r="H1434">
        <v>59</v>
      </c>
      <c r="I1434" t="s">
        <v>938</v>
      </c>
      <c r="J1434">
        <v>2</v>
      </c>
      <c r="K1434" t="s">
        <v>946</v>
      </c>
    </row>
    <row r="1435" spans="1:11" x14ac:dyDescent="0.25">
      <c r="A1435" t="s">
        <v>367</v>
      </c>
      <c r="B1435" t="s">
        <v>937</v>
      </c>
      <c r="C1435" s="3">
        <v>5336</v>
      </c>
      <c r="D1435" s="3">
        <v>1011</v>
      </c>
      <c r="E1435" s="3">
        <v>7062</v>
      </c>
      <c r="F1435">
        <v>2850</v>
      </c>
      <c r="G1435">
        <v>1475</v>
      </c>
      <c r="H1435">
        <v>68</v>
      </c>
      <c r="I1435" t="s">
        <v>940</v>
      </c>
      <c r="J1435">
        <v>9</v>
      </c>
      <c r="K1435" t="s">
        <v>948</v>
      </c>
    </row>
    <row r="1436" spans="1:11" x14ac:dyDescent="0.25">
      <c r="A1436" t="s">
        <v>703</v>
      </c>
      <c r="B1436" t="s">
        <v>935</v>
      </c>
      <c r="C1436" s="3">
        <v>4089</v>
      </c>
      <c r="D1436" s="3">
        <v>-1470</v>
      </c>
      <c r="E1436" s="3">
        <v>9566</v>
      </c>
      <c r="F1436">
        <v>4679</v>
      </c>
      <c r="G1436">
        <v>880</v>
      </c>
      <c r="H1436">
        <v>78</v>
      </c>
      <c r="I1436" t="s">
        <v>942</v>
      </c>
      <c r="J1436">
        <v>9</v>
      </c>
      <c r="K1436" t="s">
        <v>944</v>
      </c>
    </row>
    <row r="1437" spans="1:11" x14ac:dyDescent="0.25">
      <c r="A1437" t="s">
        <v>408</v>
      </c>
      <c r="B1437" t="s">
        <v>934</v>
      </c>
      <c r="C1437" s="3">
        <v>5288</v>
      </c>
      <c r="D1437" s="3">
        <v>3037</v>
      </c>
      <c r="E1437" s="3">
        <v>4251</v>
      </c>
      <c r="F1437">
        <v>1109</v>
      </c>
      <c r="G1437">
        <v>1142</v>
      </c>
      <c r="H1437">
        <v>94</v>
      </c>
      <c r="I1437" t="s">
        <v>942</v>
      </c>
      <c r="J1437">
        <v>3</v>
      </c>
      <c r="K1437" t="s">
        <v>949</v>
      </c>
    </row>
    <row r="1438" spans="1:11" x14ac:dyDescent="0.25">
      <c r="A1438" t="s">
        <v>109</v>
      </c>
      <c r="B1438" t="s">
        <v>934</v>
      </c>
      <c r="C1438" s="3">
        <v>3222</v>
      </c>
      <c r="D1438" s="3">
        <v>885</v>
      </c>
      <c r="E1438" s="3">
        <v>8319</v>
      </c>
      <c r="F1438">
        <v>2063</v>
      </c>
      <c r="G1438">
        <v>274</v>
      </c>
      <c r="H1438">
        <v>15</v>
      </c>
      <c r="I1438" t="s">
        <v>940</v>
      </c>
      <c r="J1438">
        <v>5</v>
      </c>
      <c r="K1438" t="s">
        <v>952</v>
      </c>
    </row>
    <row r="1439" spans="1:11" x14ac:dyDescent="0.25">
      <c r="A1439" t="s">
        <v>311</v>
      </c>
      <c r="B1439" t="s">
        <v>936</v>
      </c>
      <c r="C1439" s="3">
        <v>11595</v>
      </c>
      <c r="D1439" s="3">
        <v>6795</v>
      </c>
      <c r="E1439" s="3">
        <v>9142</v>
      </c>
      <c r="F1439">
        <v>3398</v>
      </c>
      <c r="G1439">
        <v>1402</v>
      </c>
      <c r="H1439">
        <v>79</v>
      </c>
      <c r="I1439" t="s">
        <v>942</v>
      </c>
      <c r="J1439">
        <v>1</v>
      </c>
      <c r="K1439" t="s">
        <v>950</v>
      </c>
    </row>
    <row r="1440" spans="1:11" x14ac:dyDescent="0.25">
      <c r="A1440" t="s">
        <v>914</v>
      </c>
      <c r="B1440" t="s">
        <v>934</v>
      </c>
      <c r="C1440" s="3">
        <v>9797</v>
      </c>
      <c r="D1440" s="3">
        <v>8144</v>
      </c>
      <c r="E1440" s="3">
        <v>9115</v>
      </c>
      <c r="F1440">
        <v>1396</v>
      </c>
      <c r="G1440">
        <v>257</v>
      </c>
      <c r="H1440">
        <v>85</v>
      </c>
      <c r="I1440" t="s">
        <v>938</v>
      </c>
      <c r="J1440">
        <v>1</v>
      </c>
      <c r="K1440" t="s">
        <v>953</v>
      </c>
    </row>
    <row r="1441" spans="1:11" x14ac:dyDescent="0.25">
      <c r="A1441" t="s">
        <v>693</v>
      </c>
      <c r="B1441" t="s">
        <v>934</v>
      </c>
      <c r="C1441" s="3">
        <v>11136</v>
      </c>
      <c r="D1441" s="3">
        <v>8819</v>
      </c>
      <c r="E1441" s="3">
        <v>5475</v>
      </c>
      <c r="F1441">
        <v>1424</v>
      </c>
      <c r="G1441">
        <v>893</v>
      </c>
      <c r="H1441">
        <v>48</v>
      </c>
      <c r="I1441" t="s">
        <v>942</v>
      </c>
      <c r="J1441">
        <v>2</v>
      </c>
      <c r="K1441" t="s">
        <v>950</v>
      </c>
    </row>
    <row r="1442" spans="1:11" x14ac:dyDescent="0.25">
      <c r="A1442" t="s">
        <v>395</v>
      </c>
      <c r="B1442" t="s">
        <v>935</v>
      </c>
      <c r="C1442" s="3">
        <v>4840</v>
      </c>
      <c r="D1442" s="3">
        <v>-2084</v>
      </c>
      <c r="E1442" s="3">
        <v>6221</v>
      </c>
      <c r="F1442">
        <v>4945</v>
      </c>
      <c r="G1442">
        <v>1979</v>
      </c>
      <c r="H1442">
        <v>107</v>
      </c>
      <c r="I1442" t="s">
        <v>939</v>
      </c>
      <c r="J1442">
        <v>5</v>
      </c>
      <c r="K1442" t="s">
        <v>949</v>
      </c>
    </row>
    <row r="1443" spans="1:11" x14ac:dyDescent="0.25">
      <c r="A1443" t="s">
        <v>568</v>
      </c>
      <c r="B1443" t="s">
        <v>935</v>
      </c>
      <c r="C1443" s="3">
        <v>3830</v>
      </c>
      <c r="D1443" s="3">
        <v>1128</v>
      </c>
      <c r="E1443" s="3">
        <v>5131</v>
      </c>
      <c r="F1443">
        <v>1515</v>
      </c>
      <c r="G1443">
        <v>1187</v>
      </c>
      <c r="H1443">
        <v>101</v>
      </c>
      <c r="I1443" t="s">
        <v>942</v>
      </c>
      <c r="J1443">
        <v>1</v>
      </c>
      <c r="K1443" t="s">
        <v>946</v>
      </c>
    </row>
    <row r="1444" spans="1:11" x14ac:dyDescent="0.25">
      <c r="A1444" t="s">
        <v>915</v>
      </c>
      <c r="B1444" t="s">
        <v>937</v>
      </c>
      <c r="C1444" s="3">
        <v>8101</v>
      </c>
      <c r="D1444" s="3">
        <v>5750</v>
      </c>
      <c r="E1444" s="3">
        <v>9231</v>
      </c>
      <c r="F1444">
        <v>1256</v>
      </c>
      <c r="G1444">
        <v>1095</v>
      </c>
      <c r="H1444">
        <v>119</v>
      </c>
      <c r="I1444" t="s">
        <v>939</v>
      </c>
      <c r="J1444">
        <v>4</v>
      </c>
      <c r="K1444" t="s">
        <v>948</v>
      </c>
    </row>
    <row r="1445" spans="1:11" x14ac:dyDescent="0.25">
      <c r="A1445" t="s">
        <v>916</v>
      </c>
      <c r="B1445" t="s">
        <v>937</v>
      </c>
      <c r="C1445" s="3">
        <v>9498</v>
      </c>
      <c r="D1445" s="3">
        <v>7305</v>
      </c>
      <c r="E1445" s="3">
        <v>4715</v>
      </c>
      <c r="F1445">
        <v>1072</v>
      </c>
      <c r="G1445">
        <v>1121</v>
      </c>
      <c r="H1445">
        <v>57</v>
      </c>
      <c r="I1445" t="s">
        <v>938</v>
      </c>
      <c r="J1445">
        <v>2</v>
      </c>
      <c r="K1445" t="s">
        <v>954</v>
      </c>
    </row>
    <row r="1446" spans="1:11" x14ac:dyDescent="0.25">
      <c r="A1446" t="s">
        <v>917</v>
      </c>
      <c r="B1446" t="s">
        <v>934</v>
      </c>
      <c r="C1446" s="3">
        <v>8385</v>
      </c>
      <c r="D1446" s="3">
        <v>5339</v>
      </c>
      <c r="E1446" s="3">
        <v>6730</v>
      </c>
      <c r="F1446">
        <v>1854</v>
      </c>
      <c r="G1446">
        <v>1192</v>
      </c>
      <c r="H1446">
        <v>82</v>
      </c>
      <c r="I1446" t="s">
        <v>939</v>
      </c>
      <c r="J1446">
        <v>5</v>
      </c>
      <c r="K1446" t="s">
        <v>945</v>
      </c>
    </row>
    <row r="1447" spans="1:11" x14ac:dyDescent="0.25">
      <c r="A1447" t="s">
        <v>918</v>
      </c>
      <c r="B1447" t="s">
        <v>936</v>
      </c>
      <c r="C1447" s="3">
        <v>5135</v>
      </c>
      <c r="D1447" s="3">
        <v>-545</v>
      </c>
      <c r="E1447" s="3">
        <v>9376</v>
      </c>
      <c r="F1447">
        <v>4399</v>
      </c>
      <c r="G1447">
        <v>1281</v>
      </c>
      <c r="H1447">
        <v>59</v>
      </c>
      <c r="I1447" t="s">
        <v>942</v>
      </c>
      <c r="J1447">
        <v>9</v>
      </c>
      <c r="K1447" t="s">
        <v>945</v>
      </c>
    </row>
    <row r="1448" spans="1:11" x14ac:dyDescent="0.25">
      <c r="A1448" t="s">
        <v>919</v>
      </c>
      <c r="B1448" t="s">
        <v>937</v>
      </c>
      <c r="C1448" s="3">
        <v>6836</v>
      </c>
      <c r="D1448" s="3">
        <v>2685</v>
      </c>
      <c r="E1448" s="3">
        <v>7216</v>
      </c>
      <c r="F1448">
        <v>2195</v>
      </c>
      <c r="G1448">
        <v>1956</v>
      </c>
      <c r="H1448">
        <v>32</v>
      </c>
      <c r="I1448" t="s">
        <v>941</v>
      </c>
      <c r="J1448">
        <v>6</v>
      </c>
      <c r="K1448" t="s">
        <v>954</v>
      </c>
    </row>
    <row r="1449" spans="1:11" x14ac:dyDescent="0.25">
      <c r="A1449" t="s">
        <v>204</v>
      </c>
      <c r="B1449" t="s">
        <v>934</v>
      </c>
      <c r="C1449" s="3">
        <v>9029</v>
      </c>
      <c r="D1449" s="3">
        <v>6025</v>
      </c>
      <c r="E1449" s="3">
        <v>9349</v>
      </c>
      <c r="F1449">
        <v>2500</v>
      </c>
      <c r="G1449">
        <v>504</v>
      </c>
      <c r="H1449">
        <v>79</v>
      </c>
      <c r="I1449" t="s">
        <v>942</v>
      </c>
      <c r="J1449">
        <v>9</v>
      </c>
      <c r="K1449" t="s">
        <v>951</v>
      </c>
    </row>
    <row r="1450" spans="1:11" x14ac:dyDescent="0.25">
      <c r="A1450" t="s">
        <v>475</v>
      </c>
      <c r="B1450" t="s">
        <v>937</v>
      </c>
      <c r="C1450" s="3">
        <v>11307</v>
      </c>
      <c r="D1450" s="3">
        <v>8617</v>
      </c>
      <c r="E1450" s="3">
        <v>5124</v>
      </c>
      <c r="F1450">
        <v>2363</v>
      </c>
      <c r="G1450">
        <v>327</v>
      </c>
      <c r="H1450">
        <v>67</v>
      </c>
      <c r="I1450" t="s">
        <v>941</v>
      </c>
      <c r="J1450">
        <v>9</v>
      </c>
      <c r="K1450" t="s">
        <v>951</v>
      </c>
    </row>
    <row r="1451" spans="1:11" x14ac:dyDescent="0.25">
      <c r="A1451" t="s">
        <v>687</v>
      </c>
      <c r="B1451" t="s">
        <v>934</v>
      </c>
      <c r="C1451" s="3">
        <v>11425</v>
      </c>
      <c r="D1451" s="3">
        <v>5380</v>
      </c>
      <c r="E1451" s="3">
        <v>9047</v>
      </c>
      <c r="F1451">
        <v>4211</v>
      </c>
      <c r="G1451">
        <v>1834</v>
      </c>
      <c r="H1451">
        <v>25</v>
      </c>
      <c r="I1451" t="s">
        <v>942</v>
      </c>
      <c r="J1451">
        <v>4</v>
      </c>
      <c r="K1451" t="s">
        <v>946</v>
      </c>
    </row>
    <row r="1452" spans="1:11" x14ac:dyDescent="0.25">
      <c r="A1452" t="s">
        <v>511</v>
      </c>
      <c r="B1452" t="s">
        <v>934</v>
      </c>
      <c r="C1452" s="3">
        <v>10003</v>
      </c>
      <c r="D1452" s="3">
        <v>4346</v>
      </c>
      <c r="E1452" s="3">
        <v>8959</v>
      </c>
      <c r="F1452">
        <v>3707</v>
      </c>
      <c r="G1452">
        <v>1950</v>
      </c>
      <c r="H1452">
        <v>15</v>
      </c>
      <c r="I1452" t="s">
        <v>941</v>
      </c>
      <c r="J1452">
        <v>10</v>
      </c>
      <c r="K1452" t="s">
        <v>950</v>
      </c>
    </row>
    <row r="1453" spans="1:11" x14ac:dyDescent="0.25">
      <c r="A1453" t="s">
        <v>45</v>
      </c>
      <c r="B1453" t="s">
        <v>934</v>
      </c>
      <c r="C1453" s="3">
        <v>10459</v>
      </c>
      <c r="D1453" s="3">
        <v>5482</v>
      </c>
      <c r="E1453" s="3">
        <v>4196</v>
      </c>
      <c r="F1453">
        <v>3120</v>
      </c>
      <c r="G1453">
        <v>1857</v>
      </c>
      <c r="H1453">
        <v>32</v>
      </c>
      <c r="I1453" t="s">
        <v>939</v>
      </c>
      <c r="J1453">
        <v>9</v>
      </c>
      <c r="K1453" t="s">
        <v>947</v>
      </c>
    </row>
    <row r="1454" spans="1:11" x14ac:dyDescent="0.25">
      <c r="A1454" t="s">
        <v>920</v>
      </c>
      <c r="B1454" t="s">
        <v>935</v>
      </c>
      <c r="C1454" s="3">
        <v>2805</v>
      </c>
      <c r="D1454" s="3">
        <v>-2641</v>
      </c>
      <c r="E1454" s="3">
        <v>9058</v>
      </c>
      <c r="F1454">
        <v>4223</v>
      </c>
      <c r="G1454">
        <v>1223</v>
      </c>
      <c r="H1454">
        <v>43</v>
      </c>
      <c r="I1454" t="s">
        <v>941</v>
      </c>
      <c r="J1454">
        <v>5</v>
      </c>
      <c r="K1454" t="s">
        <v>953</v>
      </c>
    </row>
    <row r="1455" spans="1:11" x14ac:dyDescent="0.25">
      <c r="A1455" t="s">
        <v>475</v>
      </c>
      <c r="B1455" t="s">
        <v>937</v>
      </c>
      <c r="C1455" s="3">
        <v>2566</v>
      </c>
      <c r="D1455" s="3">
        <v>-722</v>
      </c>
      <c r="E1455" s="3">
        <v>4571</v>
      </c>
      <c r="F1455">
        <v>1771</v>
      </c>
      <c r="G1455">
        <v>1517</v>
      </c>
      <c r="H1455">
        <v>80</v>
      </c>
      <c r="I1455" t="s">
        <v>941</v>
      </c>
      <c r="J1455">
        <v>2</v>
      </c>
      <c r="K1455" t="s">
        <v>951</v>
      </c>
    </row>
    <row r="1456" spans="1:11" x14ac:dyDescent="0.25">
      <c r="A1456" t="s">
        <v>527</v>
      </c>
      <c r="B1456" t="s">
        <v>935</v>
      </c>
      <c r="C1456" s="3">
        <v>3587</v>
      </c>
      <c r="D1456" s="3">
        <v>-1610</v>
      </c>
      <c r="E1456" s="3">
        <v>6644</v>
      </c>
      <c r="F1456">
        <v>4970</v>
      </c>
      <c r="G1456">
        <v>227</v>
      </c>
      <c r="H1456">
        <v>40</v>
      </c>
      <c r="I1456" t="s">
        <v>940</v>
      </c>
      <c r="J1456">
        <v>5</v>
      </c>
      <c r="K1456" t="s">
        <v>944</v>
      </c>
    </row>
    <row r="1457" spans="1:11" x14ac:dyDescent="0.25">
      <c r="A1457" t="s">
        <v>921</v>
      </c>
      <c r="B1457" t="s">
        <v>936</v>
      </c>
      <c r="C1457" s="3">
        <v>9997</v>
      </c>
      <c r="D1457" s="3">
        <v>7875</v>
      </c>
      <c r="E1457" s="3">
        <v>5484</v>
      </c>
      <c r="F1457">
        <v>881</v>
      </c>
      <c r="G1457">
        <v>1241</v>
      </c>
      <c r="H1457">
        <v>27</v>
      </c>
      <c r="I1457" t="s">
        <v>941</v>
      </c>
      <c r="J1457">
        <v>7</v>
      </c>
      <c r="K1457" t="s">
        <v>946</v>
      </c>
    </row>
    <row r="1458" spans="1:11" x14ac:dyDescent="0.25">
      <c r="A1458" t="s">
        <v>500</v>
      </c>
      <c r="B1458" t="s">
        <v>934</v>
      </c>
      <c r="C1458" s="3">
        <v>11007</v>
      </c>
      <c r="D1458" s="3">
        <v>8321</v>
      </c>
      <c r="E1458" s="3">
        <v>7515</v>
      </c>
      <c r="F1458">
        <v>949</v>
      </c>
      <c r="G1458">
        <v>1737</v>
      </c>
      <c r="H1458">
        <v>120</v>
      </c>
      <c r="I1458" t="s">
        <v>942</v>
      </c>
      <c r="J1458">
        <v>9</v>
      </c>
      <c r="K1458" t="s">
        <v>948</v>
      </c>
    </row>
    <row r="1459" spans="1:11" x14ac:dyDescent="0.25">
      <c r="A1459" t="s">
        <v>19</v>
      </c>
      <c r="B1459" t="s">
        <v>934</v>
      </c>
      <c r="C1459" s="3">
        <v>2520</v>
      </c>
      <c r="D1459" s="3">
        <v>-782</v>
      </c>
      <c r="E1459" s="3">
        <v>6919</v>
      </c>
      <c r="F1459">
        <v>2632</v>
      </c>
      <c r="G1459">
        <v>670</v>
      </c>
      <c r="H1459">
        <v>73</v>
      </c>
      <c r="I1459" t="s">
        <v>940</v>
      </c>
      <c r="J1459">
        <v>6</v>
      </c>
      <c r="K1459" t="s">
        <v>944</v>
      </c>
    </row>
    <row r="1460" spans="1:11" x14ac:dyDescent="0.25">
      <c r="A1460" t="s">
        <v>25</v>
      </c>
      <c r="B1460" t="s">
        <v>935</v>
      </c>
      <c r="C1460" s="3">
        <v>7522</v>
      </c>
      <c r="D1460" s="3">
        <v>1786</v>
      </c>
      <c r="E1460" s="3">
        <v>6792</v>
      </c>
      <c r="F1460">
        <v>4645</v>
      </c>
      <c r="G1460">
        <v>1091</v>
      </c>
      <c r="H1460">
        <v>68</v>
      </c>
      <c r="I1460" t="s">
        <v>940</v>
      </c>
      <c r="J1460">
        <v>1</v>
      </c>
      <c r="K1460" t="s">
        <v>950</v>
      </c>
    </row>
    <row r="1461" spans="1:11" x14ac:dyDescent="0.25">
      <c r="A1461" t="s">
        <v>95</v>
      </c>
      <c r="B1461" t="s">
        <v>934</v>
      </c>
      <c r="C1461" s="3">
        <v>11945</v>
      </c>
      <c r="D1461" s="3">
        <v>8312</v>
      </c>
      <c r="E1461" s="3">
        <v>8020</v>
      </c>
      <c r="F1461">
        <v>1730</v>
      </c>
      <c r="G1461">
        <v>1903</v>
      </c>
      <c r="H1461">
        <v>108</v>
      </c>
      <c r="I1461" t="s">
        <v>942</v>
      </c>
      <c r="J1461">
        <v>3</v>
      </c>
      <c r="K1461" t="s">
        <v>954</v>
      </c>
    </row>
    <row r="1462" spans="1:11" x14ac:dyDescent="0.25">
      <c r="A1462" t="s">
        <v>18</v>
      </c>
      <c r="B1462" t="s">
        <v>936</v>
      </c>
      <c r="C1462" s="3">
        <v>2446</v>
      </c>
      <c r="D1462" s="3">
        <v>-2</v>
      </c>
      <c r="E1462" s="3">
        <v>4033</v>
      </c>
      <c r="F1462">
        <v>1840</v>
      </c>
      <c r="G1462">
        <v>608</v>
      </c>
      <c r="H1462">
        <v>73</v>
      </c>
      <c r="I1462" t="s">
        <v>940</v>
      </c>
      <c r="J1462">
        <v>3</v>
      </c>
      <c r="K1462" t="s">
        <v>950</v>
      </c>
    </row>
    <row r="1463" spans="1:11" x14ac:dyDescent="0.25">
      <c r="A1463" t="s">
        <v>179</v>
      </c>
      <c r="B1463" t="s">
        <v>935</v>
      </c>
      <c r="C1463" s="3">
        <v>10381</v>
      </c>
      <c r="D1463" s="3">
        <v>4282</v>
      </c>
      <c r="E1463" s="3">
        <v>9522</v>
      </c>
      <c r="F1463">
        <v>4217</v>
      </c>
      <c r="G1463">
        <v>1882</v>
      </c>
      <c r="H1463">
        <v>31</v>
      </c>
      <c r="I1463" t="s">
        <v>942</v>
      </c>
      <c r="J1463">
        <v>10</v>
      </c>
      <c r="K1463" t="s">
        <v>944</v>
      </c>
    </row>
    <row r="1464" spans="1:11" x14ac:dyDescent="0.25">
      <c r="A1464" t="s">
        <v>922</v>
      </c>
      <c r="B1464" t="s">
        <v>937</v>
      </c>
      <c r="C1464" s="3">
        <v>10494</v>
      </c>
      <c r="D1464" s="3">
        <v>6150</v>
      </c>
      <c r="E1464" s="3">
        <v>4019</v>
      </c>
      <c r="F1464">
        <v>3312</v>
      </c>
      <c r="G1464">
        <v>1032</v>
      </c>
      <c r="H1464">
        <v>13</v>
      </c>
      <c r="I1464" t="s">
        <v>939</v>
      </c>
      <c r="J1464">
        <v>10</v>
      </c>
      <c r="K1464" t="s">
        <v>946</v>
      </c>
    </row>
    <row r="1465" spans="1:11" x14ac:dyDescent="0.25">
      <c r="A1465" t="s">
        <v>782</v>
      </c>
      <c r="B1465" t="s">
        <v>937</v>
      </c>
      <c r="C1465" s="3">
        <v>4410</v>
      </c>
      <c r="D1465" s="3">
        <v>230</v>
      </c>
      <c r="E1465" s="3">
        <v>5681</v>
      </c>
      <c r="F1465">
        <v>3228</v>
      </c>
      <c r="G1465">
        <v>952</v>
      </c>
      <c r="H1465">
        <v>22</v>
      </c>
      <c r="I1465" t="s">
        <v>940</v>
      </c>
      <c r="J1465">
        <v>6</v>
      </c>
      <c r="K1465" t="s">
        <v>944</v>
      </c>
    </row>
    <row r="1466" spans="1:11" x14ac:dyDescent="0.25">
      <c r="A1466" t="s">
        <v>363</v>
      </c>
      <c r="B1466" t="s">
        <v>935</v>
      </c>
      <c r="C1466" s="3">
        <v>11835</v>
      </c>
      <c r="D1466" s="3">
        <v>7162</v>
      </c>
      <c r="E1466" s="3">
        <v>8446</v>
      </c>
      <c r="F1466">
        <v>3211</v>
      </c>
      <c r="G1466">
        <v>1462</v>
      </c>
      <c r="H1466">
        <v>119</v>
      </c>
      <c r="I1466" t="s">
        <v>940</v>
      </c>
      <c r="J1466">
        <v>3</v>
      </c>
      <c r="K1466" t="s">
        <v>950</v>
      </c>
    </row>
    <row r="1467" spans="1:11" x14ac:dyDescent="0.25">
      <c r="A1467" t="s">
        <v>387</v>
      </c>
      <c r="B1467" t="s">
        <v>937</v>
      </c>
      <c r="C1467" s="3">
        <v>11165</v>
      </c>
      <c r="D1467" s="3">
        <v>8166</v>
      </c>
      <c r="E1467" s="3">
        <v>4721</v>
      </c>
      <c r="F1467">
        <v>1662</v>
      </c>
      <c r="G1467">
        <v>1337</v>
      </c>
      <c r="H1467">
        <v>110</v>
      </c>
      <c r="I1467" t="s">
        <v>938</v>
      </c>
      <c r="J1467">
        <v>4</v>
      </c>
      <c r="K1467" t="s">
        <v>952</v>
      </c>
    </row>
    <row r="1468" spans="1:11" x14ac:dyDescent="0.25">
      <c r="A1468" t="s">
        <v>923</v>
      </c>
      <c r="B1468" t="s">
        <v>934</v>
      </c>
      <c r="C1468" s="3">
        <v>3560</v>
      </c>
      <c r="D1468" s="3">
        <v>-722</v>
      </c>
      <c r="E1468" s="3">
        <v>9579</v>
      </c>
      <c r="F1468">
        <v>3041</v>
      </c>
      <c r="G1468">
        <v>1241</v>
      </c>
      <c r="H1468">
        <v>67</v>
      </c>
      <c r="I1468" t="s">
        <v>940</v>
      </c>
      <c r="J1468">
        <v>4</v>
      </c>
      <c r="K1468" t="s">
        <v>950</v>
      </c>
    </row>
    <row r="1469" spans="1:11" x14ac:dyDescent="0.25">
      <c r="A1469" t="s">
        <v>254</v>
      </c>
      <c r="B1469" t="s">
        <v>934</v>
      </c>
      <c r="C1469" s="3">
        <v>7122</v>
      </c>
      <c r="D1469" s="3">
        <v>4327</v>
      </c>
      <c r="E1469" s="3">
        <v>5499</v>
      </c>
      <c r="F1469">
        <v>1199</v>
      </c>
      <c r="G1469">
        <v>1596</v>
      </c>
      <c r="H1469">
        <v>94</v>
      </c>
      <c r="I1469" t="s">
        <v>938</v>
      </c>
      <c r="J1469">
        <v>3</v>
      </c>
      <c r="K1469" t="s">
        <v>951</v>
      </c>
    </row>
    <row r="1470" spans="1:11" x14ac:dyDescent="0.25">
      <c r="A1470" t="s">
        <v>164</v>
      </c>
      <c r="B1470" t="s">
        <v>937</v>
      </c>
      <c r="C1470" s="3">
        <v>6968</v>
      </c>
      <c r="D1470" s="3">
        <v>2071</v>
      </c>
      <c r="E1470" s="3">
        <v>7405</v>
      </c>
      <c r="F1470">
        <v>3655</v>
      </c>
      <c r="G1470">
        <v>1242</v>
      </c>
      <c r="H1470">
        <v>51</v>
      </c>
      <c r="I1470" t="s">
        <v>939</v>
      </c>
      <c r="J1470">
        <v>10</v>
      </c>
      <c r="K1470" t="s">
        <v>946</v>
      </c>
    </row>
    <row r="1471" spans="1:11" x14ac:dyDescent="0.25">
      <c r="A1471" t="s">
        <v>375</v>
      </c>
      <c r="B1471" t="s">
        <v>934</v>
      </c>
      <c r="C1471" s="3">
        <v>2327</v>
      </c>
      <c r="D1471" s="3">
        <v>-704</v>
      </c>
      <c r="E1471" s="3">
        <v>5767</v>
      </c>
      <c r="F1471">
        <v>1307</v>
      </c>
      <c r="G1471">
        <v>1724</v>
      </c>
      <c r="H1471">
        <v>116</v>
      </c>
      <c r="I1471" t="s">
        <v>938</v>
      </c>
      <c r="J1471">
        <v>8</v>
      </c>
      <c r="K1471" t="s">
        <v>949</v>
      </c>
    </row>
    <row r="1472" spans="1:11" x14ac:dyDescent="0.25">
      <c r="A1472" t="s">
        <v>924</v>
      </c>
      <c r="B1472" t="s">
        <v>935</v>
      </c>
      <c r="C1472" s="3">
        <v>8244</v>
      </c>
      <c r="D1472" s="3">
        <v>5806</v>
      </c>
      <c r="E1472" s="3">
        <v>9257</v>
      </c>
      <c r="F1472">
        <v>2224</v>
      </c>
      <c r="G1472">
        <v>214</v>
      </c>
      <c r="H1472">
        <v>24</v>
      </c>
      <c r="I1472" t="s">
        <v>938</v>
      </c>
      <c r="J1472">
        <v>8</v>
      </c>
      <c r="K1472" t="s">
        <v>948</v>
      </c>
    </row>
    <row r="1473" spans="1:11" x14ac:dyDescent="0.25">
      <c r="A1473" t="s">
        <v>410</v>
      </c>
      <c r="B1473" t="s">
        <v>935</v>
      </c>
      <c r="C1473" s="3">
        <v>11482</v>
      </c>
      <c r="D1473" s="3">
        <v>6207</v>
      </c>
      <c r="E1473" s="3">
        <v>8718</v>
      </c>
      <c r="F1473">
        <v>3788</v>
      </c>
      <c r="G1473">
        <v>1487</v>
      </c>
      <c r="H1473">
        <v>86</v>
      </c>
      <c r="I1473" t="s">
        <v>942</v>
      </c>
      <c r="J1473">
        <v>4</v>
      </c>
      <c r="K1473" t="s">
        <v>954</v>
      </c>
    </row>
    <row r="1474" spans="1:11" x14ac:dyDescent="0.25">
      <c r="A1474" t="s">
        <v>925</v>
      </c>
      <c r="B1474" t="s">
        <v>936</v>
      </c>
      <c r="C1474" s="3">
        <v>11117</v>
      </c>
      <c r="D1474" s="3">
        <v>6178</v>
      </c>
      <c r="E1474" s="3">
        <v>6310</v>
      </c>
      <c r="F1474">
        <v>4632</v>
      </c>
      <c r="G1474">
        <v>307</v>
      </c>
      <c r="H1474">
        <v>45</v>
      </c>
      <c r="I1474" t="s">
        <v>940</v>
      </c>
      <c r="J1474">
        <v>7</v>
      </c>
      <c r="K1474" t="s">
        <v>954</v>
      </c>
    </row>
    <row r="1475" spans="1:11" x14ac:dyDescent="0.25">
      <c r="A1475" t="s">
        <v>752</v>
      </c>
      <c r="B1475" t="s">
        <v>937</v>
      </c>
      <c r="C1475" s="3">
        <v>2755</v>
      </c>
      <c r="D1475" s="3">
        <v>-2214</v>
      </c>
      <c r="E1475" s="3">
        <v>8465</v>
      </c>
      <c r="F1475">
        <v>3351</v>
      </c>
      <c r="G1475">
        <v>1618</v>
      </c>
      <c r="H1475">
        <v>116</v>
      </c>
      <c r="I1475" t="s">
        <v>939</v>
      </c>
      <c r="J1475">
        <v>7</v>
      </c>
      <c r="K1475" t="s">
        <v>943</v>
      </c>
    </row>
    <row r="1476" spans="1:11" x14ac:dyDescent="0.25">
      <c r="A1476" t="s">
        <v>857</v>
      </c>
      <c r="B1476" t="s">
        <v>936</v>
      </c>
      <c r="C1476" s="3">
        <v>7450</v>
      </c>
      <c r="D1476" s="3">
        <v>3075</v>
      </c>
      <c r="E1476" s="3">
        <v>4571</v>
      </c>
      <c r="F1476">
        <v>2473</v>
      </c>
      <c r="G1476">
        <v>1902</v>
      </c>
      <c r="H1476">
        <v>10</v>
      </c>
      <c r="I1476" t="s">
        <v>939</v>
      </c>
      <c r="J1476">
        <v>10</v>
      </c>
      <c r="K1476" t="s">
        <v>944</v>
      </c>
    </row>
    <row r="1477" spans="1:11" x14ac:dyDescent="0.25">
      <c r="A1477" t="s">
        <v>926</v>
      </c>
      <c r="B1477" t="s">
        <v>934</v>
      </c>
      <c r="C1477" s="3">
        <v>3250</v>
      </c>
      <c r="D1477" s="3">
        <v>-2446</v>
      </c>
      <c r="E1477" s="3">
        <v>4422</v>
      </c>
      <c r="F1477">
        <v>3742</v>
      </c>
      <c r="G1477">
        <v>1954</v>
      </c>
      <c r="H1477">
        <v>38</v>
      </c>
      <c r="I1477" t="s">
        <v>939</v>
      </c>
      <c r="J1477">
        <v>1</v>
      </c>
      <c r="K1477" t="s">
        <v>943</v>
      </c>
    </row>
    <row r="1478" spans="1:11" x14ac:dyDescent="0.25">
      <c r="A1478" t="s">
        <v>927</v>
      </c>
      <c r="B1478" t="s">
        <v>937</v>
      </c>
      <c r="C1478" s="3">
        <v>2553</v>
      </c>
      <c r="D1478" s="3">
        <v>-2277</v>
      </c>
      <c r="E1478" s="3">
        <v>5262</v>
      </c>
      <c r="F1478">
        <v>4192</v>
      </c>
      <c r="G1478">
        <v>638</v>
      </c>
      <c r="H1478">
        <v>20</v>
      </c>
      <c r="I1478" t="s">
        <v>940</v>
      </c>
      <c r="J1478">
        <v>10</v>
      </c>
      <c r="K1478" t="s">
        <v>943</v>
      </c>
    </row>
    <row r="1479" spans="1:11" x14ac:dyDescent="0.25">
      <c r="A1479" t="s">
        <v>715</v>
      </c>
      <c r="B1479" t="s">
        <v>936</v>
      </c>
      <c r="C1479" s="3">
        <v>4504</v>
      </c>
      <c r="D1479" s="3">
        <v>-622</v>
      </c>
      <c r="E1479" s="3">
        <v>4289</v>
      </c>
      <c r="F1479">
        <v>3258</v>
      </c>
      <c r="G1479">
        <v>1868</v>
      </c>
      <c r="H1479">
        <v>71</v>
      </c>
      <c r="I1479" t="s">
        <v>938</v>
      </c>
      <c r="J1479">
        <v>6</v>
      </c>
      <c r="K1479" t="s">
        <v>953</v>
      </c>
    </row>
    <row r="1480" spans="1:11" x14ac:dyDescent="0.25">
      <c r="A1480" t="s">
        <v>582</v>
      </c>
      <c r="B1480" t="s">
        <v>934</v>
      </c>
      <c r="C1480" s="3">
        <v>8747</v>
      </c>
      <c r="D1480" s="3">
        <v>5803</v>
      </c>
      <c r="E1480" s="3">
        <v>9544</v>
      </c>
      <c r="F1480">
        <v>2043</v>
      </c>
      <c r="G1480">
        <v>901</v>
      </c>
      <c r="H1480">
        <v>100</v>
      </c>
      <c r="I1480" t="s">
        <v>939</v>
      </c>
      <c r="J1480">
        <v>10</v>
      </c>
      <c r="K1480" t="s">
        <v>946</v>
      </c>
    </row>
    <row r="1481" spans="1:11" x14ac:dyDescent="0.25">
      <c r="A1481" t="s">
        <v>928</v>
      </c>
      <c r="B1481" t="s">
        <v>936</v>
      </c>
      <c r="C1481" s="3">
        <v>11276</v>
      </c>
      <c r="D1481" s="3">
        <v>8120</v>
      </c>
      <c r="E1481" s="3">
        <v>8729</v>
      </c>
      <c r="F1481">
        <v>1479</v>
      </c>
      <c r="G1481">
        <v>1677</v>
      </c>
      <c r="H1481">
        <v>68</v>
      </c>
      <c r="I1481" t="s">
        <v>942</v>
      </c>
      <c r="J1481">
        <v>9</v>
      </c>
      <c r="K1481" t="s">
        <v>954</v>
      </c>
    </row>
    <row r="1482" spans="1:11" x14ac:dyDescent="0.25">
      <c r="A1482" t="s">
        <v>515</v>
      </c>
      <c r="B1482" t="s">
        <v>937</v>
      </c>
      <c r="C1482" s="3">
        <v>8503</v>
      </c>
      <c r="D1482" s="3">
        <v>3960</v>
      </c>
      <c r="E1482" s="3">
        <v>6746</v>
      </c>
      <c r="F1482">
        <v>2836</v>
      </c>
      <c r="G1482">
        <v>1707</v>
      </c>
      <c r="H1482">
        <v>98</v>
      </c>
      <c r="I1482" t="s">
        <v>938</v>
      </c>
      <c r="J1482">
        <v>10</v>
      </c>
      <c r="K1482" t="s">
        <v>951</v>
      </c>
    </row>
    <row r="1483" spans="1:11" x14ac:dyDescent="0.25">
      <c r="A1483" t="s">
        <v>558</v>
      </c>
      <c r="B1483" t="s">
        <v>935</v>
      </c>
      <c r="C1483" s="3">
        <v>4127</v>
      </c>
      <c r="D1483" s="3">
        <v>1437</v>
      </c>
      <c r="E1483" s="3">
        <v>7593</v>
      </c>
      <c r="F1483">
        <v>1037</v>
      </c>
      <c r="G1483">
        <v>1653</v>
      </c>
      <c r="H1483">
        <v>28</v>
      </c>
      <c r="I1483" t="s">
        <v>940</v>
      </c>
      <c r="J1483">
        <v>3</v>
      </c>
      <c r="K1483" t="s">
        <v>952</v>
      </c>
    </row>
    <row r="1484" spans="1:11" x14ac:dyDescent="0.25">
      <c r="A1484" t="s">
        <v>834</v>
      </c>
      <c r="B1484" t="s">
        <v>934</v>
      </c>
      <c r="C1484" s="3">
        <v>6270</v>
      </c>
      <c r="D1484" s="3">
        <v>2837</v>
      </c>
      <c r="E1484" s="3">
        <v>6760</v>
      </c>
      <c r="F1484">
        <v>2832</v>
      </c>
      <c r="G1484">
        <v>601</v>
      </c>
      <c r="H1484">
        <v>17</v>
      </c>
      <c r="I1484" t="s">
        <v>941</v>
      </c>
      <c r="J1484">
        <v>9</v>
      </c>
      <c r="K1484" t="s">
        <v>950</v>
      </c>
    </row>
    <row r="1485" spans="1:11" x14ac:dyDescent="0.25">
      <c r="A1485" t="s">
        <v>318</v>
      </c>
      <c r="B1485" t="s">
        <v>936</v>
      </c>
      <c r="C1485" s="3">
        <v>8969</v>
      </c>
      <c r="D1485" s="3">
        <v>7422</v>
      </c>
      <c r="E1485" s="3">
        <v>7759</v>
      </c>
      <c r="F1485">
        <v>903</v>
      </c>
      <c r="G1485">
        <v>644</v>
      </c>
      <c r="H1485">
        <v>117</v>
      </c>
      <c r="I1485" t="s">
        <v>938</v>
      </c>
      <c r="J1485">
        <v>9</v>
      </c>
      <c r="K1485" t="s">
        <v>949</v>
      </c>
    </row>
    <row r="1486" spans="1:11" x14ac:dyDescent="0.25">
      <c r="A1486" t="s">
        <v>308</v>
      </c>
      <c r="B1486" t="s">
        <v>937</v>
      </c>
      <c r="C1486" s="3">
        <v>2962</v>
      </c>
      <c r="D1486" s="3">
        <v>-1200</v>
      </c>
      <c r="E1486" s="3">
        <v>4751</v>
      </c>
      <c r="F1486">
        <v>3284</v>
      </c>
      <c r="G1486">
        <v>878</v>
      </c>
      <c r="H1486">
        <v>65</v>
      </c>
      <c r="I1486" t="s">
        <v>938</v>
      </c>
      <c r="J1486">
        <v>4</v>
      </c>
      <c r="K1486" t="s">
        <v>952</v>
      </c>
    </row>
    <row r="1487" spans="1:11" x14ac:dyDescent="0.25">
      <c r="A1487" t="s">
        <v>698</v>
      </c>
      <c r="B1487" t="s">
        <v>936</v>
      </c>
      <c r="C1487" s="3">
        <v>4057</v>
      </c>
      <c r="D1487" s="3">
        <v>-1813</v>
      </c>
      <c r="E1487" s="3">
        <v>6459</v>
      </c>
      <c r="F1487">
        <v>4614</v>
      </c>
      <c r="G1487">
        <v>1256</v>
      </c>
      <c r="H1487">
        <v>21</v>
      </c>
      <c r="I1487" t="s">
        <v>940</v>
      </c>
      <c r="J1487">
        <v>8</v>
      </c>
      <c r="K1487" t="s">
        <v>952</v>
      </c>
    </row>
    <row r="1488" spans="1:11" x14ac:dyDescent="0.25">
      <c r="A1488" t="s">
        <v>182</v>
      </c>
      <c r="B1488" t="s">
        <v>935</v>
      </c>
      <c r="C1488" s="3">
        <v>4590</v>
      </c>
      <c r="D1488" s="3">
        <v>-722</v>
      </c>
      <c r="E1488" s="3">
        <v>6150</v>
      </c>
      <c r="F1488">
        <v>4463</v>
      </c>
      <c r="G1488">
        <v>849</v>
      </c>
      <c r="H1488">
        <v>30</v>
      </c>
      <c r="I1488" t="s">
        <v>942</v>
      </c>
      <c r="J1488">
        <v>8</v>
      </c>
      <c r="K1488" t="s">
        <v>953</v>
      </c>
    </row>
    <row r="1489" spans="1:11" x14ac:dyDescent="0.25">
      <c r="A1489" t="s">
        <v>929</v>
      </c>
      <c r="B1489" t="s">
        <v>935</v>
      </c>
      <c r="C1489" s="3">
        <v>3869</v>
      </c>
      <c r="D1489" s="3">
        <v>-1239</v>
      </c>
      <c r="E1489" s="3">
        <v>5105</v>
      </c>
      <c r="F1489">
        <v>4893</v>
      </c>
      <c r="G1489">
        <v>215</v>
      </c>
      <c r="H1489">
        <v>82</v>
      </c>
      <c r="I1489" t="s">
        <v>942</v>
      </c>
      <c r="J1489">
        <v>10</v>
      </c>
      <c r="K1489" t="s">
        <v>944</v>
      </c>
    </row>
    <row r="1490" spans="1:11" x14ac:dyDescent="0.25">
      <c r="A1490" t="s">
        <v>238</v>
      </c>
      <c r="B1490" t="s">
        <v>935</v>
      </c>
      <c r="C1490" s="3">
        <v>5475</v>
      </c>
      <c r="D1490" s="3">
        <v>423</v>
      </c>
      <c r="E1490" s="3">
        <v>8261</v>
      </c>
      <c r="F1490">
        <v>3364</v>
      </c>
      <c r="G1490">
        <v>1688</v>
      </c>
      <c r="H1490">
        <v>60</v>
      </c>
      <c r="I1490" t="s">
        <v>939</v>
      </c>
      <c r="J1490">
        <v>2</v>
      </c>
      <c r="K1490" t="s">
        <v>952</v>
      </c>
    </row>
    <row r="1491" spans="1:11" x14ac:dyDescent="0.25">
      <c r="A1491" t="s">
        <v>428</v>
      </c>
      <c r="B1491" t="s">
        <v>935</v>
      </c>
      <c r="C1491" s="3">
        <v>3894</v>
      </c>
      <c r="D1491" s="3">
        <v>-348</v>
      </c>
      <c r="E1491" s="3">
        <v>7337</v>
      </c>
      <c r="F1491">
        <v>3381</v>
      </c>
      <c r="G1491">
        <v>861</v>
      </c>
      <c r="H1491">
        <v>90</v>
      </c>
      <c r="I1491" t="s">
        <v>939</v>
      </c>
      <c r="J1491">
        <v>5</v>
      </c>
      <c r="K1491" t="s">
        <v>952</v>
      </c>
    </row>
    <row r="1492" spans="1:11" x14ac:dyDescent="0.25">
      <c r="A1492" t="s">
        <v>930</v>
      </c>
      <c r="B1492" t="s">
        <v>937</v>
      </c>
      <c r="C1492" s="3">
        <v>3297</v>
      </c>
      <c r="D1492" s="3">
        <v>-954</v>
      </c>
      <c r="E1492" s="3">
        <v>5515</v>
      </c>
      <c r="F1492">
        <v>3447</v>
      </c>
      <c r="G1492">
        <v>804</v>
      </c>
      <c r="H1492">
        <v>103</v>
      </c>
      <c r="I1492" t="s">
        <v>938</v>
      </c>
      <c r="J1492">
        <v>8</v>
      </c>
      <c r="K1492" t="s">
        <v>949</v>
      </c>
    </row>
    <row r="1493" spans="1:11" x14ac:dyDescent="0.25">
      <c r="A1493" t="s">
        <v>722</v>
      </c>
      <c r="B1493" t="s">
        <v>934</v>
      </c>
      <c r="C1493" s="3">
        <v>3906</v>
      </c>
      <c r="D1493" s="3">
        <v>-1607</v>
      </c>
      <c r="E1493" s="3">
        <v>5990</v>
      </c>
      <c r="F1493">
        <v>4841</v>
      </c>
      <c r="G1493">
        <v>672</v>
      </c>
      <c r="H1493">
        <v>24</v>
      </c>
      <c r="I1493" t="s">
        <v>938</v>
      </c>
      <c r="J1493">
        <v>10</v>
      </c>
      <c r="K1493" t="s">
        <v>949</v>
      </c>
    </row>
    <row r="1494" spans="1:11" x14ac:dyDescent="0.25">
      <c r="A1494" t="s">
        <v>81</v>
      </c>
      <c r="B1494" t="s">
        <v>936</v>
      </c>
      <c r="C1494" s="3">
        <v>5814</v>
      </c>
      <c r="D1494" s="3">
        <v>612</v>
      </c>
      <c r="E1494" s="3">
        <v>7447</v>
      </c>
      <c r="F1494">
        <v>4921</v>
      </c>
      <c r="G1494">
        <v>281</v>
      </c>
      <c r="H1494">
        <v>108</v>
      </c>
      <c r="I1494" t="s">
        <v>941</v>
      </c>
      <c r="J1494">
        <v>7</v>
      </c>
      <c r="K1494" t="s">
        <v>945</v>
      </c>
    </row>
    <row r="1495" spans="1:11" x14ac:dyDescent="0.25">
      <c r="A1495" t="s">
        <v>816</v>
      </c>
      <c r="B1495" t="s">
        <v>935</v>
      </c>
      <c r="C1495" s="3">
        <v>11843</v>
      </c>
      <c r="D1495" s="3">
        <v>6635</v>
      </c>
      <c r="E1495" s="3">
        <v>6223</v>
      </c>
      <c r="F1495">
        <v>4380</v>
      </c>
      <c r="G1495">
        <v>828</v>
      </c>
      <c r="H1495">
        <v>81</v>
      </c>
      <c r="I1495" t="s">
        <v>940</v>
      </c>
      <c r="J1495">
        <v>4</v>
      </c>
      <c r="K1495" t="s">
        <v>945</v>
      </c>
    </row>
    <row r="1496" spans="1:11" x14ac:dyDescent="0.25">
      <c r="A1496" t="s">
        <v>931</v>
      </c>
      <c r="B1496" t="s">
        <v>936</v>
      </c>
      <c r="C1496" s="3">
        <v>3065</v>
      </c>
      <c r="D1496" s="3">
        <v>-2007</v>
      </c>
      <c r="E1496" s="3">
        <v>4974</v>
      </c>
      <c r="F1496">
        <v>4182</v>
      </c>
      <c r="G1496">
        <v>890</v>
      </c>
      <c r="H1496">
        <v>75</v>
      </c>
      <c r="I1496" t="s">
        <v>939</v>
      </c>
      <c r="J1496">
        <v>9</v>
      </c>
      <c r="K1496" t="s">
        <v>952</v>
      </c>
    </row>
    <row r="1497" spans="1:11" x14ac:dyDescent="0.25">
      <c r="A1497" t="s">
        <v>143</v>
      </c>
      <c r="B1497" t="s">
        <v>936</v>
      </c>
      <c r="C1497" s="3">
        <v>2260</v>
      </c>
      <c r="D1497" s="3">
        <v>-2349</v>
      </c>
      <c r="E1497" s="3">
        <v>5598</v>
      </c>
      <c r="F1497">
        <v>3514</v>
      </c>
      <c r="G1497">
        <v>1095</v>
      </c>
      <c r="H1497">
        <v>101</v>
      </c>
      <c r="I1497" t="s">
        <v>941</v>
      </c>
      <c r="J1497">
        <v>3</v>
      </c>
      <c r="K1497" t="s">
        <v>946</v>
      </c>
    </row>
    <row r="1498" spans="1:11" x14ac:dyDescent="0.25">
      <c r="A1498" t="s">
        <v>843</v>
      </c>
      <c r="B1498" t="s">
        <v>934</v>
      </c>
      <c r="C1498" s="3">
        <v>11458</v>
      </c>
      <c r="D1498" s="3">
        <v>7463</v>
      </c>
      <c r="E1498" s="3">
        <v>5578</v>
      </c>
      <c r="F1498">
        <v>2904</v>
      </c>
      <c r="G1498">
        <v>1091</v>
      </c>
      <c r="H1498">
        <v>111</v>
      </c>
      <c r="I1498" t="s">
        <v>939</v>
      </c>
      <c r="J1498">
        <v>2</v>
      </c>
      <c r="K1498" t="s">
        <v>946</v>
      </c>
    </row>
    <row r="1499" spans="1:11" x14ac:dyDescent="0.25">
      <c r="A1499" t="s">
        <v>285</v>
      </c>
      <c r="B1499" t="s">
        <v>937</v>
      </c>
      <c r="C1499" s="3">
        <v>10989</v>
      </c>
      <c r="D1499" s="3">
        <v>9276</v>
      </c>
      <c r="E1499" s="3">
        <v>9365</v>
      </c>
      <c r="F1499">
        <v>1392</v>
      </c>
      <c r="G1499">
        <v>321</v>
      </c>
      <c r="H1499">
        <v>112</v>
      </c>
      <c r="I1499" t="s">
        <v>941</v>
      </c>
      <c r="J1499">
        <v>8</v>
      </c>
      <c r="K1499" t="s">
        <v>943</v>
      </c>
    </row>
    <row r="1500" spans="1:11" x14ac:dyDescent="0.25">
      <c r="A1500" t="s">
        <v>932</v>
      </c>
      <c r="B1500" t="s">
        <v>937</v>
      </c>
      <c r="C1500" s="3">
        <v>6530</v>
      </c>
      <c r="D1500" s="3">
        <v>2678</v>
      </c>
      <c r="E1500" s="3">
        <v>6401</v>
      </c>
      <c r="F1500">
        <v>3643</v>
      </c>
      <c r="G1500">
        <v>209</v>
      </c>
      <c r="H1500">
        <v>61</v>
      </c>
      <c r="I1500" t="s">
        <v>940</v>
      </c>
      <c r="J1500">
        <v>8</v>
      </c>
      <c r="K1500" t="s">
        <v>950</v>
      </c>
    </row>
    <row r="1501" spans="1:11" x14ac:dyDescent="0.25">
      <c r="A1501" t="s">
        <v>933</v>
      </c>
      <c r="B1501" t="s">
        <v>936</v>
      </c>
      <c r="C1501" s="3">
        <v>10144</v>
      </c>
      <c r="D1501" s="3">
        <v>5514</v>
      </c>
      <c r="E1501" s="3">
        <v>7790</v>
      </c>
      <c r="F1501">
        <v>2806</v>
      </c>
      <c r="G1501">
        <v>1824</v>
      </c>
      <c r="H1501">
        <v>68</v>
      </c>
      <c r="I1501" t="s">
        <v>940</v>
      </c>
      <c r="J1501">
        <v>7</v>
      </c>
      <c r="K1501" t="s">
        <v>947</v>
      </c>
    </row>
    <row r="1502" spans="1:11" x14ac:dyDescent="0.25">
      <c r="C1502" s="6"/>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10629-58A1-46E1-86F0-11176552B7B5}">
  <sheetPr codeName="Sheet2"/>
  <dimension ref="A1:Z15"/>
  <sheetViews>
    <sheetView workbookViewId="0">
      <selection activeCell="AD5" sqref="AD5"/>
    </sheetView>
  </sheetViews>
  <sheetFormatPr defaultRowHeight="15" x14ac:dyDescent="0.25"/>
  <cols>
    <col min="1" max="1" width="13.140625" bestFit="1" customWidth="1"/>
    <col min="2" max="2" width="12.140625" bestFit="1" customWidth="1"/>
    <col min="3" max="3" width="18.42578125" bestFit="1" customWidth="1"/>
    <col min="5" max="5" width="13.140625" bestFit="1" customWidth="1"/>
    <col min="6" max="6" width="22.28515625" bestFit="1" customWidth="1"/>
    <col min="8" max="8" width="13.140625" bestFit="1" customWidth="1"/>
    <col min="9" max="9" width="12.140625" bestFit="1" customWidth="1"/>
    <col min="10" max="11" width="12.5703125" bestFit="1" customWidth="1"/>
    <col min="12" max="12" width="13.140625" bestFit="1" customWidth="1"/>
    <col min="13" max="13" width="12.42578125" bestFit="1" customWidth="1"/>
    <col min="14" max="14" width="19.7109375" customWidth="1"/>
    <col min="15" max="15" width="13.140625" bestFit="1" customWidth="1"/>
    <col min="16" max="16" width="11.42578125" bestFit="1" customWidth="1"/>
    <col min="17" max="17" width="16" bestFit="1" customWidth="1"/>
    <col min="18" max="18" width="13.140625" bestFit="1" customWidth="1"/>
    <col min="19" max="19" width="16" bestFit="1" customWidth="1"/>
    <col min="20" max="20" width="7" bestFit="1" customWidth="1"/>
    <col min="21" max="21" width="12.140625" bestFit="1" customWidth="1"/>
    <col min="22" max="22" width="12.5703125" bestFit="1" customWidth="1"/>
    <col min="23" max="23" width="7" bestFit="1" customWidth="1"/>
    <col min="24" max="24" width="22.28515625" bestFit="1" customWidth="1"/>
    <col min="25" max="25" width="7" bestFit="1" customWidth="1"/>
    <col min="26" max="26" width="18.42578125" bestFit="1" customWidth="1"/>
    <col min="27" max="211" width="7" bestFit="1" customWidth="1"/>
    <col min="212" max="212" width="8" bestFit="1" customWidth="1"/>
    <col min="213" max="233" width="7" bestFit="1" customWidth="1"/>
    <col min="234" max="234" width="8" bestFit="1" customWidth="1"/>
    <col min="235" max="287" width="7" bestFit="1" customWidth="1"/>
    <col min="288" max="288" width="8" bestFit="1" customWidth="1"/>
    <col min="289" max="306" width="7" bestFit="1" customWidth="1"/>
    <col min="307" max="307" width="8" bestFit="1" customWidth="1"/>
    <col min="308" max="375" width="7" bestFit="1" customWidth="1"/>
    <col min="376" max="376" width="8" bestFit="1" customWidth="1"/>
    <col min="377" max="385" width="7" bestFit="1" customWidth="1"/>
    <col min="386" max="386" width="8" bestFit="1" customWidth="1"/>
    <col min="387" max="408" width="7" bestFit="1" customWidth="1"/>
    <col min="409" max="409" width="8" bestFit="1" customWidth="1"/>
    <col min="410" max="472" width="7" bestFit="1" customWidth="1"/>
    <col min="473" max="473" width="8" bestFit="1" customWidth="1"/>
    <col min="474" max="517" width="7" bestFit="1" customWidth="1"/>
    <col min="518" max="518" width="8" bestFit="1" customWidth="1"/>
    <col min="519" max="529" width="7" bestFit="1" customWidth="1"/>
    <col min="530" max="530" width="8" bestFit="1" customWidth="1"/>
    <col min="531" max="531" width="7" bestFit="1" customWidth="1"/>
    <col min="532" max="532" width="8" bestFit="1" customWidth="1"/>
    <col min="533" max="563" width="7" bestFit="1" customWidth="1"/>
    <col min="564" max="564" width="8" bestFit="1" customWidth="1"/>
    <col min="565" max="577" width="7" bestFit="1" customWidth="1"/>
    <col min="578" max="578" width="8" bestFit="1" customWidth="1"/>
    <col min="579" max="582" width="7" bestFit="1" customWidth="1"/>
    <col min="583" max="583" width="8" bestFit="1" customWidth="1"/>
    <col min="584" max="604" width="7" bestFit="1" customWidth="1"/>
    <col min="605" max="605" width="8" bestFit="1" customWidth="1"/>
    <col min="606" max="617" width="7" bestFit="1" customWidth="1"/>
    <col min="618" max="618" width="8" bestFit="1" customWidth="1"/>
    <col min="619" max="622" width="7" bestFit="1" customWidth="1"/>
    <col min="623" max="623" width="8" bestFit="1" customWidth="1"/>
    <col min="624" max="637" width="7" bestFit="1" customWidth="1"/>
    <col min="638" max="638" width="8" bestFit="1" customWidth="1"/>
    <col min="639" max="668" width="7" bestFit="1" customWidth="1"/>
    <col min="669" max="669" width="8" bestFit="1" customWidth="1"/>
    <col min="670" max="685" width="7" bestFit="1" customWidth="1"/>
    <col min="686" max="686" width="8" bestFit="1" customWidth="1"/>
    <col min="687" max="688" width="7" bestFit="1" customWidth="1"/>
    <col min="689" max="689" width="8" bestFit="1" customWidth="1"/>
    <col min="690" max="692" width="7" bestFit="1" customWidth="1"/>
    <col min="693" max="693" width="8" bestFit="1" customWidth="1"/>
    <col min="694" max="743" width="7" bestFit="1" customWidth="1"/>
    <col min="744" max="744" width="8" bestFit="1" customWidth="1"/>
    <col min="745" max="748" width="7" bestFit="1" customWidth="1"/>
    <col min="749" max="749" width="8" bestFit="1" customWidth="1"/>
    <col min="750" max="788" width="7" bestFit="1" customWidth="1"/>
    <col min="789" max="789" width="8" bestFit="1" customWidth="1"/>
    <col min="790" max="790" width="7" bestFit="1" customWidth="1"/>
    <col min="791" max="791" width="8" bestFit="1" customWidth="1"/>
    <col min="792" max="804" width="7" bestFit="1" customWidth="1"/>
    <col min="805" max="806" width="8" bestFit="1" customWidth="1"/>
    <col min="807" max="820" width="7" bestFit="1" customWidth="1"/>
    <col min="821" max="821" width="8" bestFit="1" customWidth="1"/>
    <col min="822" max="830" width="7" bestFit="1" customWidth="1"/>
    <col min="831" max="831" width="8" bestFit="1" customWidth="1"/>
    <col min="832" max="834" width="7" bestFit="1" customWidth="1"/>
    <col min="835" max="835" width="8" bestFit="1" customWidth="1"/>
    <col min="836" max="851" width="7" bestFit="1" customWidth="1"/>
    <col min="852" max="852" width="8" bestFit="1" customWidth="1"/>
    <col min="853" max="853" width="7" bestFit="1" customWidth="1"/>
    <col min="854" max="854" width="8" bestFit="1" customWidth="1"/>
    <col min="855" max="856" width="7" bestFit="1" customWidth="1"/>
    <col min="857" max="857" width="8" bestFit="1" customWidth="1"/>
    <col min="858" max="861" width="7" bestFit="1" customWidth="1"/>
    <col min="862" max="862" width="8" bestFit="1" customWidth="1"/>
    <col min="863" max="868" width="7" bestFit="1" customWidth="1"/>
    <col min="869" max="869" width="8" bestFit="1" customWidth="1"/>
    <col min="870" max="880" width="7" bestFit="1" customWidth="1"/>
    <col min="881" max="881" width="8" bestFit="1" customWidth="1"/>
    <col min="882" max="894" width="7" bestFit="1" customWidth="1"/>
    <col min="895" max="895" width="8" bestFit="1" customWidth="1"/>
    <col min="896" max="899" width="7" bestFit="1" customWidth="1"/>
    <col min="900" max="900" width="8" bestFit="1" customWidth="1"/>
    <col min="901" max="904" width="7" bestFit="1" customWidth="1"/>
    <col min="905" max="905" width="8" bestFit="1" customWidth="1"/>
    <col min="906" max="921" width="7" bestFit="1" customWidth="1"/>
    <col min="922" max="922" width="8" bestFit="1" customWidth="1"/>
    <col min="923" max="923" width="7" bestFit="1" customWidth="1"/>
    <col min="924" max="924" width="8" bestFit="1" customWidth="1"/>
    <col min="925" max="927" width="7" bestFit="1" customWidth="1"/>
    <col min="928" max="928" width="8" bestFit="1" customWidth="1"/>
    <col min="929" max="933" width="7" bestFit="1" customWidth="1"/>
    <col min="934" max="934" width="8" bestFit="1" customWidth="1"/>
    <col min="935" max="938" width="7" bestFit="1" customWidth="1"/>
    <col min="939" max="939" width="8" bestFit="1" customWidth="1"/>
    <col min="940" max="947" width="7" bestFit="1" customWidth="1"/>
    <col min="948" max="948" width="8" bestFit="1" customWidth="1"/>
    <col min="949" max="952" width="7" bestFit="1" customWidth="1"/>
    <col min="953" max="954" width="8" bestFit="1" customWidth="1"/>
    <col min="955" max="960" width="7" bestFit="1" customWidth="1"/>
    <col min="961" max="961" width="8" bestFit="1" customWidth="1"/>
    <col min="962" max="962" width="7" bestFit="1" customWidth="1"/>
    <col min="963" max="963" width="8" bestFit="1" customWidth="1"/>
    <col min="964" max="968" width="7" bestFit="1" customWidth="1"/>
    <col min="969" max="969" width="8" bestFit="1" customWidth="1"/>
    <col min="970" max="970" width="7" bestFit="1" customWidth="1"/>
    <col min="971" max="971" width="8" bestFit="1" customWidth="1"/>
    <col min="972" max="973" width="7" bestFit="1" customWidth="1"/>
    <col min="974" max="974" width="8" bestFit="1" customWidth="1"/>
    <col min="975" max="975" width="7" bestFit="1" customWidth="1"/>
    <col min="976" max="976" width="8" bestFit="1" customWidth="1"/>
    <col min="977" max="978" width="7" bestFit="1" customWidth="1"/>
    <col min="979" max="980" width="8" bestFit="1" customWidth="1"/>
    <col min="981" max="981" width="7" bestFit="1" customWidth="1"/>
    <col min="982" max="982" width="8" bestFit="1" customWidth="1"/>
    <col min="983" max="985" width="7" bestFit="1" customWidth="1"/>
    <col min="986" max="986" width="8" bestFit="1" customWidth="1"/>
    <col min="987" max="989" width="7" bestFit="1" customWidth="1"/>
    <col min="990" max="990" width="8" bestFit="1" customWidth="1"/>
    <col min="991" max="994" width="7" bestFit="1" customWidth="1"/>
    <col min="995" max="995" width="8" bestFit="1" customWidth="1"/>
    <col min="996" max="997" width="7" bestFit="1" customWidth="1"/>
    <col min="998" max="998" width="8" bestFit="1" customWidth="1"/>
    <col min="999" max="1000" width="7" bestFit="1" customWidth="1"/>
    <col min="1001" max="1001" width="8" bestFit="1" customWidth="1"/>
    <col min="1002" max="1007" width="7" bestFit="1" customWidth="1"/>
    <col min="1008" max="1008" width="8" bestFit="1" customWidth="1"/>
    <col min="1009" max="1010" width="7" bestFit="1" customWidth="1"/>
    <col min="1011" max="1011" width="8" bestFit="1" customWidth="1"/>
    <col min="1012" max="1014" width="7" bestFit="1" customWidth="1"/>
    <col min="1015" max="1015" width="8" bestFit="1" customWidth="1"/>
    <col min="1016" max="1019" width="7" bestFit="1" customWidth="1"/>
    <col min="1020" max="1020" width="8" bestFit="1" customWidth="1"/>
    <col min="1021" max="1021" width="7" bestFit="1" customWidth="1"/>
    <col min="1022" max="1022" width="8" bestFit="1" customWidth="1"/>
    <col min="1023" max="1023" width="7" bestFit="1" customWidth="1"/>
    <col min="1024" max="1024" width="8" bestFit="1" customWidth="1"/>
    <col min="1025" max="1025" width="7" bestFit="1" customWidth="1"/>
    <col min="1026" max="1026" width="8" bestFit="1" customWidth="1"/>
    <col min="1027" max="1031" width="7" bestFit="1" customWidth="1"/>
    <col min="1032" max="1032" width="8" bestFit="1" customWidth="1"/>
    <col min="1033" max="1043" width="7" bestFit="1" customWidth="1"/>
    <col min="1044" max="1044" width="8" bestFit="1" customWidth="1"/>
    <col min="1045" max="1046" width="7" bestFit="1" customWidth="1"/>
    <col min="1047" max="1048" width="8" bestFit="1" customWidth="1"/>
    <col min="1049" max="1052" width="7" bestFit="1" customWidth="1"/>
    <col min="1053" max="1054" width="8" bestFit="1" customWidth="1"/>
    <col min="1055" max="1055" width="7" bestFit="1" customWidth="1"/>
    <col min="1056" max="1058" width="8" bestFit="1" customWidth="1"/>
    <col min="1059" max="1059" width="7" bestFit="1" customWidth="1"/>
    <col min="1060" max="1061" width="8" bestFit="1" customWidth="1"/>
    <col min="1062" max="1062" width="7" bestFit="1" customWidth="1"/>
    <col min="1063" max="1063" width="8" bestFit="1" customWidth="1"/>
    <col min="1064" max="1064" width="7" bestFit="1" customWidth="1"/>
    <col min="1065" max="1065" width="8" bestFit="1" customWidth="1"/>
    <col min="1066" max="1067" width="7" bestFit="1" customWidth="1"/>
    <col min="1068" max="1072" width="8" bestFit="1" customWidth="1"/>
    <col min="1073" max="1073" width="7" bestFit="1" customWidth="1"/>
    <col min="1074" max="1074" width="8" bestFit="1" customWidth="1"/>
    <col min="1075" max="1078" width="7" bestFit="1" customWidth="1"/>
    <col min="1079" max="1079" width="8" bestFit="1" customWidth="1"/>
    <col min="1080" max="1080" width="7" bestFit="1" customWidth="1"/>
    <col min="1081" max="1082" width="8" bestFit="1" customWidth="1"/>
    <col min="1083" max="1083" width="7" bestFit="1" customWidth="1"/>
    <col min="1084" max="1085" width="8" bestFit="1" customWidth="1"/>
    <col min="1086" max="1090" width="7" bestFit="1" customWidth="1"/>
    <col min="1091" max="1093" width="8" bestFit="1" customWidth="1"/>
    <col min="1094" max="1094" width="7" bestFit="1" customWidth="1"/>
    <col min="1095" max="1095" width="8" bestFit="1" customWidth="1"/>
    <col min="1096" max="1099" width="7" bestFit="1" customWidth="1"/>
    <col min="1100" max="1100" width="8" bestFit="1" customWidth="1"/>
    <col min="1101" max="1103" width="7" bestFit="1" customWidth="1"/>
    <col min="1104" max="1107" width="8" bestFit="1" customWidth="1"/>
    <col min="1108" max="1112" width="7" bestFit="1" customWidth="1"/>
    <col min="1113" max="1116" width="8" bestFit="1" customWidth="1"/>
    <col min="1117" max="1117" width="7" bestFit="1" customWidth="1"/>
    <col min="1118" max="1118" width="8" bestFit="1" customWidth="1"/>
    <col min="1119" max="1119" width="7" bestFit="1" customWidth="1"/>
    <col min="1120" max="1120" width="8" bestFit="1" customWidth="1"/>
    <col min="1121" max="1122" width="7" bestFit="1" customWidth="1"/>
    <col min="1123" max="1125" width="8" bestFit="1" customWidth="1"/>
    <col min="1126" max="1127" width="7" bestFit="1" customWidth="1"/>
    <col min="1128" max="1128" width="8" bestFit="1" customWidth="1"/>
    <col min="1129" max="1130" width="7" bestFit="1" customWidth="1"/>
    <col min="1131" max="1131" width="8" bestFit="1" customWidth="1"/>
    <col min="1132" max="1132" width="7" bestFit="1" customWidth="1"/>
    <col min="1133" max="1134" width="8" bestFit="1" customWidth="1"/>
    <col min="1135" max="1135" width="7" bestFit="1" customWidth="1"/>
    <col min="1136" max="1138" width="8" bestFit="1" customWidth="1"/>
    <col min="1139" max="1140" width="7" bestFit="1" customWidth="1"/>
    <col min="1141" max="1141" width="8" bestFit="1" customWidth="1"/>
    <col min="1142" max="1142" width="7" bestFit="1" customWidth="1"/>
    <col min="1143" max="1143" width="8" bestFit="1" customWidth="1"/>
    <col min="1144" max="1144" width="7" bestFit="1" customWidth="1"/>
    <col min="1145" max="1145" width="8" bestFit="1" customWidth="1"/>
    <col min="1146" max="1149" width="7" bestFit="1" customWidth="1"/>
    <col min="1150" max="1150" width="8" bestFit="1" customWidth="1"/>
    <col min="1151" max="1151" width="7" bestFit="1" customWidth="1"/>
    <col min="1152" max="1153" width="8" bestFit="1" customWidth="1"/>
    <col min="1154" max="1154" width="7" bestFit="1" customWidth="1"/>
    <col min="1155" max="1159" width="8" bestFit="1" customWidth="1"/>
    <col min="1160" max="1160" width="7" bestFit="1" customWidth="1"/>
    <col min="1161" max="1165" width="8" bestFit="1" customWidth="1"/>
    <col min="1166" max="1167" width="7" bestFit="1" customWidth="1"/>
    <col min="1168" max="1168" width="8" bestFit="1" customWidth="1"/>
    <col min="1169" max="1169" width="7" bestFit="1" customWidth="1"/>
    <col min="1170" max="1170" width="8" bestFit="1" customWidth="1"/>
    <col min="1171" max="1172" width="7" bestFit="1" customWidth="1"/>
    <col min="1173" max="1173" width="8" bestFit="1" customWidth="1"/>
    <col min="1174" max="1174" width="7" bestFit="1" customWidth="1"/>
    <col min="1175" max="1175" width="8" bestFit="1" customWidth="1"/>
    <col min="1176" max="1177" width="7" bestFit="1" customWidth="1"/>
    <col min="1178" max="1178" width="8" bestFit="1" customWidth="1"/>
    <col min="1179" max="1179" width="7" bestFit="1" customWidth="1"/>
    <col min="1180" max="1180" width="8" bestFit="1" customWidth="1"/>
    <col min="1181" max="1181" width="7" bestFit="1" customWidth="1"/>
    <col min="1182" max="1185" width="8" bestFit="1" customWidth="1"/>
    <col min="1186" max="1186" width="7" bestFit="1" customWidth="1"/>
    <col min="1187" max="1192" width="8" bestFit="1" customWidth="1"/>
    <col min="1193" max="1194" width="7" bestFit="1" customWidth="1"/>
    <col min="1195" max="1195" width="8" bestFit="1" customWidth="1"/>
    <col min="1196" max="1200" width="7" bestFit="1" customWidth="1"/>
    <col min="1201" max="1201" width="8" bestFit="1" customWidth="1"/>
    <col min="1202" max="1203" width="7" bestFit="1" customWidth="1"/>
    <col min="1204" max="1206" width="8" bestFit="1" customWidth="1"/>
    <col min="1207" max="1208" width="7" bestFit="1" customWidth="1"/>
    <col min="1209" max="1220" width="8" bestFit="1" customWidth="1"/>
    <col min="1221" max="1221" width="7" bestFit="1" customWidth="1"/>
    <col min="1222" max="1229" width="8" bestFit="1" customWidth="1"/>
    <col min="1230" max="1231" width="7" bestFit="1" customWidth="1"/>
    <col min="1232" max="1233" width="8" bestFit="1" customWidth="1"/>
    <col min="1234" max="1236" width="7" bestFit="1" customWidth="1"/>
    <col min="1237" max="1240" width="8" bestFit="1" customWidth="1"/>
    <col min="1241" max="1241" width="7" bestFit="1" customWidth="1"/>
    <col min="1242" max="1245" width="8" bestFit="1" customWidth="1"/>
    <col min="1246" max="1246" width="7" bestFit="1" customWidth="1"/>
    <col min="1247" max="1249" width="8" bestFit="1" customWidth="1"/>
    <col min="1250" max="1250" width="7" bestFit="1" customWidth="1"/>
    <col min="1251" max="1251" width="8" bestFit="1" customWidth="1"/>
    <col min="1252" max="1255" width="7" bestFit="1" customWidth="1"/>
    <col min="1256" max="1259" width="8" bestFit="1" customWidth="1"/>
    <col min="1260" max="1260" width="7" bestFit="1" customWidth="1"/>
    <col min="1261" max="1267" width="8" bestFit="1" customWidth="1"/>
    <col min="1268" max="1268" width="7" bestFit="1" customWidth="1"/>
    <col min="1269" max="1270" width="8" bestFit="1" customWidth="1"/>
    <col min="1271" max="1271" width="7" bestFit="1" customWidth="1"/>
    <col min="1272" max="1274" width="8" bestFit="1" customWidth="1"/>
    <col min="1275" max="1275" width="7" bestFit="1" customWidth="1"/>
    <col min="1276" max="1276" width="8" bestFit="1" customWidth="1"/>
    <col min="1277" max="1277" width="7" bestFit="1" customWidth="1"/>
    <col min="1278" max="1278" width="8" bestFit="1" customWidth="1"/>
    <col min="1279" max="1279" width="7" bestFit="1" customWidth="1"/>
    <col min="1280" max="1287" width="8" bestFit="1" customWidth="1"/>
    <col min="1288" max="1288" width="7" bestFit="1" customWidth="1"/>
    <col min="1289" max="1290" width="8" bestFit="1" customWidth="1"/>
    <col min="1291" max="1291" width="7" bestFit="1" customWidth="1"/>
    <col min="1292" max="1292" width="8" bestFit="1" customWidth="1"/>
    <col min="1293" max="1294" width="7" bestFit="1" customWidth="1"/>
    <col min="1295" max="1298" width="8" bestFit="1" customWidth="1"/>
    <col min="1299" max="1299" width="7" bestFit="1" customWidth="1"/>
    <col min="1300" max="1310" width="8" bestFit="1" customWidth="1"/>
    <col min="1311" max="1312" width="7" bestFit="1" customWidth="1"/>
    <col min="1313" max="1316" width="8" bestFit="1" customWidth="1"/>
    <col min="1317" max="1317" width="7" bestFit="1" customWidth="1"/>
    <col min="1318" max="1318" width="8" bestFit="1" customWidth="1"/>
    <col min="1319" max="1319" width="7" bestFit="1" customWidth="1"/>
    <col min="1320" max="1331" width="8" bestFit="1" customWidth="1"/>
    <col min="1332" max="1332" width="7" bestFit="1" customWidth="1"/>
    <col min="1333" max="1343" width="8" bestFit="1" customWidth="1"/>
    <col min="1344" max="1344" width="7" bestFit="1" customWidth="1"/>
    <col min="1345" max="1362" width="8" bestFit="1" customWidth="1"/>
    <col min="1363" max="1364" width="7" bestFit="1" customWidth="1"/>
    <col min="1365" max="1405" width="8" bestFit="1" customWidth="1"/>
    <col min="1406" max="1406" width="18.42578125" bestFit="1" customWidth="1"/>
    <col min="1407" max="1436" width="7" bestFit="1" customWidth="1"/>
    <col min="1437" max="1437" width="8" bestFit="1" customWidth="1"/>
    <col min="1438" max="1445" width="7" bestFit="1" customWidth="1"/>
    <col min="1446" max="1446" width="8" bestFit="1" customWidth="1"/>
    <col min="1447" max="1488" width="7" bestFit="1" customWidth="1"/>
    <col min="1489" max="1489" width="8" bestFit="1" customWidth="1"/>
    <col min="1490" max="1505" width="7" bestFit="1" customWidth="1"/>
    <col min="1506" max="1506" width="8" bestFit="1" customWidth="1"/>
    <col min="1507" max="1508" width="7" bestFit="1" customWidth="1"/>
    <col min="1509" max="1509" width="8" bestFit="1" customWidth="1"/>
    <col min="1510" max="1522" width="7" bestFit="1" customWidth="1"/>
    <col min="1523" max="1523" width="8" bestFit="1" customWidth="1"/>
    <col min="1524" max="1589" width="7" bestFit="1" customWidth="1"/>
    <col min="1590" max="1590" width="8" bestFit="1" customWidth="1"/>
    <col min="1591" max="1608" width="7" bestFit="1" customWidth="1"/>
    <col min="1609" max="1609" width="8" bestFit="1" customWidth="1"/>
    <col min="1610" max="1623" width="7" bestFit="1" customWidth="1"/>
    <col min="1624" max="1624" width="8" bestFit="1" customWidth="1"/>
    <col min="1625" max="1630" width="7" bestFit="1" customWidth="1"/>
    <col min="1631" max="1631" width="8" bestFit="1" customWidth="1"/>
    <col min="1632" max="1652" width="7" bestFit="1" customWidth="1"/>
    <col min="1653" max="1653" width="8" bestFit="1" customWidth="1"/>
    <col min="1654" max="1654" width="7" bestFit="1" customWidth="1"/>
    <col min="1655" max="1655" width="8" bestFit="1" customWidth="1"/>
    <col min="1656" max="1659" width="7" bestFit="1" customWidth="1"/>
    <col min="1660" max="1660" width="8" bestFit="1" customWidth="1"/>
    <col min="1661" max="1684" width="7" bestFit="1" customWidth="1"/>
    <col min="1685" max="1685" width="8" bestFit="1" customWidth="1"/>
    <col min="1686" max="1703" width="7" bestFit="1" customWidth="1"/>
    <col min="1704" max="1704" width="8" bestFit="1" customWidth="1"/>
    <col min="1705" max="1748" width="7" bestFit="1" customWidth="1"/>
    <col min="1749" max="1749" width="8" bestFit="1" customWidth="1"/>
    <col min="1750" max="1751" width="7" bestFit="1" customWidth="1"/>
    <col min="1752" max="1752" width="8" bestFit="1" customWidth="1"/>
    <col min="1753" max="1753" width="7" bestFit="1" customWidth="1"/>
    <col min="1754" max="1754" width="8" bestFit="1" customWidth="1"/>
    <col min="1755" max="1772" width="7" bestFit="1" customWidth="1"/>
    <col min="1773" max="1773" width="8" bestFit="1" customWidth="1"/>
    <col min="1774" max="1777" width="7" bestFit="1" customWidth="1"/>
    <col min="1778" max="1778" width="8" bestFit="1" customWidth="1"/>
    <col min="1779" max="1782" width="7" bestFit="1" customWidth="1"/>
    <col min="1783" max="1783" width="8" bestFit="1" customWidth="1"/>
    <col min="1784" max="1790" width="7" bestFit="1" customWidth="1"/>
    <col min="1791" max="1791" width="8" bestFit="1" customWidth="1"/>
    <col min="1792" max="1804" width="7" bestFit="1" customWidth="1"/>
    <col min="1805" max="1806" width="8" bestFit="1" customWidth="1"/>
    <col min="1807" max="1811" width="7" bestFit="1" customWidth="1"/>
    <col min="1812" max="1812" width="8" bestFit="1" customWidth="1"/>
    <col min="1813" max="1847" width="7" bestFit="1" customWidth="1"/>
    <col min="1848" max="1848" width="8" bestFit="1" customWidth="1"/>
    <col min="1849" max="1850" width="7" bestFit="1" customWidth="1"/>
    <col min="1851" max="1851" width="8" bestFit="1" customWidth="1"/>
    <col min="1852" max="1852" width="7" bestFit="1" customWidth="1"/>
    <col min="1853" max="1853" width="8" bestFit="1" customWidth="1"/>
    <col min="1854" max="1865" width="7" bestFit="1" customWidth="1"/>
    <col min="1866" max="1866" width="8" bestFit="1" customWidth="1"/>
    <col min="1867" max="1869" width="7" bestFit="1" customWidth="1"/>
    <col min="1870" max="1870" width="8" bestFit="1" customWidth="1"/>
    <col min="1871" max="1886" width="7" bestFit="1" customWidth="1"/>
    <col min="1887" max="1887" width="8" bestFit="1" customWidth="1"/>
    <col min="1888" max="1905" width="7" bestFit="1" customWidth="1"/>
    <col min="1906" max="1906" width="8" bestFit="1" customWidth="1"/>
    <col min="1907" max="1914" width="7" bestFit="1" customWidth="1"/>
    <col min="1915" max="1915" width="8" bestFit="1" customWidth="1"/>
    <col min="1916" max="1920" width="7" bestFit="1" customWidth="1"/>
    <col min="1921" max="1921" width="8" bestFit="1" customWidth="1"/>
    <col min="1922" max="1926" width="7" bestFit="1" customWidth="1"/>
    <col min="1927" max="1927" width="8" bestFit="1" customWidth="1"/>
    <col min="1928" max="1928" width="7" bestFit="1" customWidth="1"/>
    <col min="1929" max="1929" width="8" bestFit="1" customWidth="1"/>
    <col min="1930" max="1957" width="7" bestFit="1" customWidth="1"/>
    <col min="1958" max="1958" width="8" bestFit="1" customWidth="1"/>
    <col min="1959" max="1960" width="7" bestFit="1" customWidth="1"/>
    <col min="1961" max="1961" width="8" bestFit="1" customWidth="1"/>
    <col min="1962" max="1974" width="7" bestFit="1" customWidth="1"/>
    <col min="1975" max="1975" width="8" bestFit="1" customWidth="1"/>
    <col min="1976" max="1979" width="7" bestFit="1" customWidth="1"/>
    <col min="1980" max="1980" width="8" bestFit="1" customWidth="1"/>
    <col min="1981" max="1982" width="7" bestFit="1" customWidth="1"/>
    <col min="1983" max="1983" width="8" bestFit="1" customWidth="1"/>
    <col min="1984" max="2001" width="7" bestFit="1" customWidth="1"/>
    <col min="2002" max="2002" width="8" bestFit="1" customWidth="1"/>
    <col min="2003" max="2014" width="7" bestFit="1" customWidth="1"/>
    <col min="2015" max="2015" width="8" bestFit="1" customWidth="1"/>
    <col min="2016" max="2019" width="7" bestFit="1" customWidth="1"/>
    <col min="2020" max="2020" width="8" bestFit="1" customWidth="1"/>
    <col min="2021" max="2034" width="7" bestFit="1" customWidth="1"/>
    <col min="2035" max="2035" width="8" bestFit="1" customWidth="1"/>
    <col min="2036" max="2065" width="7" bestFit="1" customWidth="1"/>
    <col min="2066" max="2066" width="8" bestFit="1" customWidth="1"/>
    <col min="2067" max="2070" width="7" bestFit="1" customWidth="1"/>
    <col min="2071" max="2071" width="8" bestFit="1" customWidth="1"/>
    <col min="2072" max="2082" width="7" bestFit="1" customWidth="1"/>
    <col min="2083" max="2083" width="8" bestFit="1" customWidth="1"/>
    <col min="2084" max="2085" width="7" bestFit="1" customWidth="1"/>
    <col min="2086" max="2086" width="8" bestFit="1" customWidth="1"/>
    <col min="2087" max="2089" width="7" bestFit="1" customWidth="1"/>
    <col min="2090" max="2090" width="8" bestFit="1" customWidth="1"/>
    <col min="2091" max="2145" width="7" bestFit="1" customWidth="1"/>
    <col min="2146" max="2146" width="8" bestFit="1" customWidth="1"/>
    <col min="2147" max="2187" width="7" bestFit="1" customWidth="1"/>
    <col min="2188" max="2188" width="8" bestFit="1" customWidth="1"/>
    <col min="2189" max="2201" width="7" bestFit="1" customWidth="1"/>
    <col min="2202" max="2203" width="8" bestFit="1" customWidth="1"/>
    <col min="2204" max="2217" width="7" bestFit="1" customWidth="1"/>
    <col min="2218" max="2218" width="8" bestFit="1" customWidth="1"/>
    <col min="2219" max="2227" width="7" bestFit="1" customWidth="1"/>
    <col min="2228" max="2228" width="8" bestFit="1" customWidth="1"/>
    <col min="2229" max="2248" width="7" bestFit="1" customWidth="1"/>
    <col min="2249" max="2249" width="8" bestFit="1" customWidth="1"/>
    <col min="2250" max="2253" width="7" bestFit="1" customWidth="1"/>
    <col min="2254" max="2254" width="8" bestFit="1" customWidth="1"/>
    <col min="2255" max="2265" width="7" bestFit="1" customWidth="1"/>
    <col min="2266" max="2266" width="8" bestFit="1" customWidth="1"/>
    <col min="2267" max="2296" width="7" bestFit="1" customWidth="1"/>
    <col min="2297" max="2297" width="8" bestFit="1" customWidth="1"/>
    <col min="2298" max="2318" width="7" bestFit="1" customWidth="1"/>
    <col min="2319" max="2319" width="8" bestFit="1" customWidth="1"/>
    <col min="2320" max="2335" width="7" bestFit="1" customWidth="1"/>
    <col min="2336" max="2336" width="8" bestFit="1" customWidth="1"/>
    <col min="2337" max="2344" width="7" bestFit="1" customWidth="1"/>
    <col min="2345" max="2345" width="8" bestFit="1" customWidth="1"/>
    <col min="2346" max="2359" width="7" bestFit="1" customWidth="1"/>
    <col min="2360" max="2360" width="8" bestFit="1" customWidth="1"/>
    <col min="2361" max="2378" width="7" bestFit="1" customWidth="1"/>
    <col min="2379" max="2379" width="8" bestFit="1" customWidth="1"/>
    <col min="2380" max="2382" width="7" bestFit="1" customWidth="1"/>
    <col min="2383" max="2383" width="8" bestFit="1" customWidth="1"/>
    <col min="2384" max="2404" width="7" bestFit="1" customWidth="1"/>
    <col min="2405" max="2405" width="8" bestFit="1" customWidth="1"/>
    <col min="2406" max="2407" width="7" bestFit="1" customWidth="1"/>
    <col min="2408" max="2408" width="8" bestFit="1" customWidth="1"/>
    <col min="2409" max="2420" width="7" bestFit="1" customWidth="1"/>
    <col min="2421" max="2421" width="8" bestFit="1" customWidth="1"/>
    <col min="2422" max="2459" width="7" bestFit="1" customWidth="1"/>
    <col min="2460" max="2460" width="8" bestFit="1" customWidth="1"/>
    <col min="2461" max="2461" width="7" bestFit="1" customWidth="1"/>
    <col min="2462" max="2462" width="8" bestFit="1" customWidth="1"/>
    <col min="2463" max="2466" width="7" bestFit="1" customWidth="1"/>
    <col min="2467" max="2467" width="8" bestFit="1" customWidth="1"/>
    <col min="2468" max="2470" width="7" bestFit="1" customWidth="1"/>
    <col min="2471" max="2471" width="8" bestFit="1" customWidth="1"/>
    <col min="2472" max="2477" width="7" bestFit="1" customWidth="1"/>
    <col min="2478" max="2479" width="8" bestFit="1" customWidth="1"/>
    <col min="2480" max="2488" width="7" bestFit="1" customWidth="1"/>
    <col min="2489" max="2489" width="8" bestFit="1" customWidth="1"/>
    <col min="2490" max="2503" width="7" bestFit="1" customWidth="1"/>
    <col min="2504" max="2504" width="8" bestFit="1" customWidth="1"/>
    <col min="2505" max="2521" width="7" bestFit="1" customWidth="1"/>
    <col min="2522" max="2522" width="8" bestFit="1" customWidth="1"/>
    <col min="2523" max="2527" width="7" bestFit="1" customWidth="1"/>
    <col min="2528" max="2528" width="8" bestFit="1" customWidth="1"/>
    <col min="2529" max="2530" width="7" bestFit="1" customWidth="1"/>
    <col min="2531" max="2531" width="8" bestFit="1" customWidth="1"/>
    <col min="2532" max="2539" width="7" bestFit="1" customWidth="1"/>
    <col min="2540" max="2540" width="8" bestFit="1" customWidth="1"/>
    <col min="2541" max="2551" width="7" bestFit="1" customWidth="1"/>
    <col min="2552" max="2552" width="8" bestFit="1" customWidth="1"/>
    <col min="2553" max="2553" width="7" bestFit="1" customWidth="1"/>
    <col min="2554" max="2555" width="8" bestFit="1" customWidth="1"/>
    <col min="2556" max="2609" width="7" bestFit="1" customWidth="1"/>
    <col min="2610" max="2610" width="8" bestFit="1" customWidth="1"/>
    <col min="2611" max="2612" width="7" bestFit="1" customWidth="1"/>
    <col min="2613" max="2613" width="8" bestFit="1" customWidth="1"/>
    <col min="2614" max="2623" width="7" bestFit="1" customWidth="1"/>
    <col min="2624" max="2624" width="8" bestFit="1" customWidth="1"/>
    <col min="2625" max="2657" width="7" bestFit="1" customWidth="1"/>
    <col min="2658" max="2658" width="8" bestFit="1" customWidth="1"/>
    <col min="2659" max="2674" width="7" bestFit="1" customWidth="1"/>
    <col min="2675" max="2675" width="8" bestFit="1" customWidth="1"/>
    <col min="2676" max="2686" width="7" bestFit="1" customWidth="1"/>
    <col min="2687" max="2687" width="8" bestFit="1" customWidth="1"/>
    <col min="2688" max="2697" width="7" bestFit="1" customWidth="1"/>
    <col min="2698" max="2698" width="8" bestFit="1" customWidth="1"/>
    <col min="2699" max="2753" width="7" bestFit="1" customWidth="1"/>
    <col min="2754" max="2754" width="8" bestFit="1" customWidth="1"/>
    <col min="2755" max="2765" width="7" bestFit="1" customWidth="1"/>
    <col min="2766" max="2766" width="8" bestFit="1" customWidth="1"/>
    <col min="2767" max="2799" width="7" bestFit="1" customWidth="1"/>
    <col min="2800" max="2802" width="8" bestFit="1" customWidth="1"/>
    <col min="2803" max="2803" width="17.28515625" bestFit="1" customWidth="1"/>
    <col min="2804" max="2804" width="23.42578125" bestFit="1" customWidth="1"/>
  </cols>
  <sheetData>
    <row r="1" spans="1:26" x14ac:dyDescent="0.25">
      <c r="A1" s="7" t="s">
        <v>959</v>
      </c>
      <c r="E1" s="7" t="s">
        <v>961</v>
      </c>
      <c r="H1" s="7" t="s">
        <v>969</v>
      </c>
      <c r="O1" s="7" t="s">
        <v>970</v>
      </c>
      <c r="R1" s="7"/>
      <c r="U1" s="7" t="s">
        <v>966</v>
      </c>
      <c r="V1" s="7" t="s">
        <v>967</v>
      </c>
      <c r="X1" s="7" t="s">
        <v>7</v>
      </c>
      <c r="Z1" s="7" t="s">
        <v>4</v>
      </c>
    </row>
    <row r="2" spans="1:26" x14ac:dyDescent="0.25">
      <c r="A2" s="4" t="s">
        <v>955</v>
      </c>
      <c r="B2" t="s">
        <v>957</v>
      </c>
      <c r="C2" t="s">
        <v>958</v>
      </c>
      <c r="E2" s="4" t="s">
        <v>955</v>
      </c>
      <c r="F2" t="s">
        <v>960</v>
      </c>
      <c r="H2" s="4" t="s">
        <v>955</v>
      </c>
      <c r="I2" t="s">
        <v>957</v>
      </c>
      <c r="J2" t="s">
        <v>962</v>
      </c>
      <c r="L2" s="7" t="s">
        <v>968</v>
      </c>
      <c r="O2" s="4" t="s">
        <v>955</v>
      </c>
      <c r="P2" t="s">
        <v>964</v>
      </c>
      <c r="Q2" t="s">
        <v>965</v>
      </c>
      <c r="U2" t="s">
        <v>957</v>
      </c>
      <c r="V2" t="s">
        <v>962</v>
      </c>
      <c r="X2" t="s">
        <v>960</v>
      </c>
      <c r="Z2" t="s">
        <v>958</v>
      </c>
    </row>
    <row r="3" spans="1:26" x14ac:dyDescent="0.25">
      <c r="A3" s="5" t="s">
        <v>950</v>
      </c>
      <c r="B3" s="8">
        <v>870577</v>
      </c>
      <c r="C3" s="8">
        <v>908720</v>
      </c>
      <c r="E3" s="5" t="s">
        <v>950</v>
      </c>
      <c r="F3" s="8">
        <v>8627</v>
      </c>
      <c r="H3" s="5" t="s">
        <v>936</v>
      </c>
      <c r="I3" s="9">
        <v>2717305</v>
      </c>
      <c r="J3" s="9">
        <v>1068448</v>
      </c>
      <c r="L3" s="4" t="s">
        <v>955</v>
      </c>
      <c r="M3" t="s">
        <v>963</v>
      </c>
      <c r="O3" s="5" t="s">
        <v>950</v>
      </c>
      <c r="P3" s="8">
        <v>367507</v>
      </c>
      <c r="Q3" s="8">
        <v>137120</v>
      </c>
      <c r="U3" s="9">
        <v>10244477</v>
      </c>
      <c r="V3" s="9">
        <v>4203367</v>
      </c>
      <c r="X3" s="12">
        <v>98982</v>
      </c>
      <c r="Z3" s="6">
        <v>10454819</v>
      </c>
    </row>
    <row r="4" spans="1:26" x14ac:dyDescent="0.25">
      <c r="A4" s="5" t="s">
        <v>954</v>
      </c>
      <c r="B4" s="8">
        <v>815684</v>
      </c>
      <c r="C4" s="8">
        <v>788784</v>
      </c>
      <c r="E4" s="5" t="s">
        <v>954</v>
      </c>
      <c r="F4" s="8">
        <v>7426</v>
      </c>
      <c r="H4" s="5" t="s">
        <v>934</v>
      </c>
      <c r="I4" s="9">
        <v>2458970</v>
      </c>
      <c r="J4" s="9">
        <v>1030137</v>
      </c>
      <c r="L4" s="5" t="s">
        <v>938</v>
      </c>
      <c r="M4" s="12">
        <v>1808</v>
      </c>
      <c r="O4" s="5" t="s">
        <v>954</v>
      </c>
      <c r="P4" s="8">
        <v>340218</v>
      </c>
      <c r="Q4" s="8">
        <v>127034</v>
      </c>
    </row>
    <row r="5" spans="1:26" x14ac:dyDescent="0.25">
      <c r="A5" s="5" t="s">
        <v>943</v>
      </c>
      <c r="B5" s="8">
        <v>865106</v>
      </c>
      <c r="C5" s="8">
        <v>867256</v>
      </c>
      <c r="E5" s="5" t="s">
        <v>943</v>
      </c>
      <c r="F5" s="8">
        <v>7919</v>
      </c>
      <c r="H5" s="5" t="s">
        <v>935</v>
      </c>
      <c r="I5" s="9">
        <v>2511811</v>
      </c>
      <c r="J5" s="9">
        <v>1014774</v>
      </c>
      <c r="L5" s="5" t="s">
        <v>941</v>
      </c>
      <c r="M5" s="12">
        <v>1755</v>
      </c>
      <c r="O5" s="5" t="s">
        <v>943</v>
      </c>
      <c r="P5" s="8">
        <v>366188</v>
      </c>
      <c r="Q5" s="8">
        <v>133356</v>
      </c>
      <c r="U5" s="9">
        <f>GETPIVOTDATA("Sales",$U$2)</f>
        <v>10244477</v>
      </c>
      <c r="V5" s="9">
        <f>GETPIVOTDATA("Profit",$V$2)</f>
        <v>4203367</v>
      </c>
      <c r="X5">
        <f>GETPIVOTDATA("Customer Count",$X$2)</f>
        <v>98982</v>
      </c>
      <c r="Z5" s="10">
        <f>GETPIVOTDATA("Target Sales",$Z$2)</f>
        <v>10454819</v>
      </c>
    </row>
    <row r="6" spans="1:26" x14ac:dyDescent="0.25">
      <c r="A6" s="5" t="s">
        <v>952</v>
      </c>
      <c r="B6" s="8">
        <v>814503</v>
      </c>
      <c r="C6" s="8">
        <v>899518</v>
      </c>
      <c r="E6" s="5" t="s">
        <v>952</v>
      </c>
      <c r="F6" s="8">
        <v>8361</v>
      </c>
      <c r="H6" s="5" t="s">
        <v>937</v>
      </c>
      <c r="I6" s="9">
        <v>2556391</v>
      </c>
      <c r="J6" s="9">
        <v>1090008</v>
      </c>
      <c r="L6" s="5" t="s">
        <v>940</v>
      </c>
      <c r="M6" s="12">
        <v>1643</v>
      </c>
      <c r="O6" s="5" t="s">
        <v>952</v>
      </c>
      <c r="P6" s="8">
        <v>394985</v>
      </c>
      <c r="Q6" s="8">
        <v>142383</v>
      </c>
    </row>
    <row r="7" spans="1:26" x14ac:dyDescent="0.25">
      <c r="A7" s="5" t="s">
        <v>946</v>
      </c>
      <c r="B7" s="8">
        <v>957682</v>
      </c>
      <c r="C7" s="8">
        <v>976257</v>
      </c>
      <c r="E7" s="5" t="s">
        <v>946</v>
      </c>
      <c r="F7" s="8">
        <v>9601</v>
      </c>
      <c r="H7" s="5" t="s">
        <v>956</v>
      </c>
      <c r="I7" s="6">
        <v>10244477</v>
      </c>
      <c r="J7" s="6">
        <v>4203367</v>
      </c>
      <c r="L7" s="5" t="s">
        <v>939</v>
      </c>
      <c r="M7" s="12">
        <v>1611</v>
      </c>
      <c r="O7" s="5" t="s">
        <v>946</v>
      </c>
      <c r="P7" s="8">
        <v>410671</v>
      </c>
      <c r="Q7" s="8">
        <v>150687</v>
      </c>
    </row>
    <row r="8" spans="1:26" x14ac:dyDescent="0.25">
      <c r="A8" s="5" t="s">
        <v>949</v>
      </c>
      <c r="B8" s="8">
        <v>889672</v>
      </c>
      <c r="C8" s="8">
        <v>872350</v>
      </c>
      <c r="E8" s="5" t="s">
        <v>949</v>
      </c>
      <c r="F8" s="8">
        <v>9228</v>
      </c>
      <c r="L8" s="5" t="s">
        <v>942</v>
      </c>
      <c r="M8" s="12">
        <v>1501</v>
      </c>
      <c r="O8" s="5" t="s">
        <v>949</v>
      </c>
      <c r="P8" s="8">
        <v>338990</v>
      </c>
      <c r="Q8" s="8">
        <v>144707</v>
      </c>
    </row>
    <row r="9" spans="1:26" x14ac:dyDescent="0.25">
      <c r="A9" s="5" t="s">
        <v>945</v>
      </c>
      <c r="B9" s="8">
        <v>801471</v>
      </c>
      <c r="C9" s="8">
        <v>826426</v>
      </c>
      <c r="E9" s="5" t="s">
        <v>945</v>
      </c>
      <c r="F9" s="8">
        <v>7112</v>
      </c>
      <c r="L9" s="5" t="s">
        <v>956</v>
      </c>
      <c r="M9" s="12">
        <v>8318</v>
      </c>
      <c r="O9" s="5" t="s">
        <v>945</v>
      </c>
      <c r="P9" s="8">
        <v>346384</v>
      </c>
      <c r="Q9" s="8">
        <v>115623</v>
      </c>
    </row>
    <row r="10" spans="1:26" x14ac:dyDescent="0.25">
      <c r="A10" s="5" t="s">
        <v>944</v>
      </c>
      <c r="B10" s="8">
        <v>853992</v>
      </c>
      <c r="C10" s="8">
        <v>862605</v>
      </c>
      <c r="E10" s="5" t="s">
        <v>944</v>
      </c>
      <c r="F10" s="8">
        <v>8208</v>
      </c>
      <c r="O10" s="5" t="s">
        <v>944</v>
      </c>
      <c r="P10" s="8">
        <v>400066</v>
      </c>
      <c r="Q10" s="8">
        <v>138010</v>
      </c>
    </row>
    <row r="11" spans="1:26" x14ac:dyDescent="0.25">
      <c r="A11" s="5" t="s">
        <v>953</v>
      </c>
      <c r="B11" s="8">
        <v>868171</v>
      </c>
      <c r="C11" s="8">
        <v>872811</v>
      </c>
      <c r="E11" s="5" t="s">
        <v>953</v>
      </c>
      <c r="F11" s="8">
        <v>7709</v>
      </c>
      <c r="L11" t="str" cm="1">
        <f t="array" ref="L11:M15">L4:M8</f>
        <v>Service</v>
      </c>
      <c r="M11">
        <v>1808</v>
      </c>
      <c r="O11" s="5" t="s">
        <v>953</v>
      </c>
      <c r="P11" s="8">
        <v>378404</v>
      </c>
      <c r="Q11" s="8">
        <v>137315</v>
      </c>
    </row>
    <row r="12" spans="1:26" x14ac:dyDescent="0.25">
      <c r="A12" s="5" t="s">
        <v>947</v>
      </c>
      <c r="B12" s="8">
        <v>880217</v>
      </c>
      <c r="C12" s="8">
        <v>930495</v>
      </c>
      <c r="E12" s="5" t="s">
        <v>947</v>
      </c>
      <c r="F12" s="8">
        <v>8169</v>
      </c>
      <c r="L12" t="str">
        <v>Availability</v>
      </c>
      <c r="M12">
        <v>1755</v>
      </c>
      <c r="O12" s="5" t="s">
        <v>947</v>
      </c>
      <c r="P12" s="8">
        <v>368869</v>
      </c>
      <c r="Q12" s="8">
        <v>161244</v>
      </c>
    </row>
    <row r="13" spans="1:26" x14ac:dyDescent="0.25">
      <c r="A13" s="5" t="s">
        <v>951</v>
      </c>
      <c r="B13" s="8">
        <v>822837</v>
      </c>
      <c r="C13" s="8">
        <v>790033</v>
      </c>
      <c r="E13" s="5" t="s">
        <v>951</v>
      </c>
      <c r="F13" s="8">
        <v>8620</v>
      </c>
      <c r="L13" t="str">
        <v>Quality</v>
      </c>
      <c r="M13">
        <v>1643</v>
      </c>
      <c r="O13" s="5" t="s">
        <v>951</v>
      </c>
      <c r="P13" s="8">
        <v>332214</v>
      </c>
      <c r="Q13" s="8">
        <v>128537</v>
      </c>
    </row>
    <row r="14" spans="1:26" x14ac:dyDescent="0.25">
      <c r="A14" s="5" t="s">
        <v>948</v>
      </c>
      <c r="B14" s="8">
        <v>804565</v>
      </c>
      <c r="C14" s="8">
        <v>859564</v>
      </c>
      <c r="E14" s="5" t="s">
        <v>948</v>
      </c>
      <c r="F14" s="8">
        <v>8002</v>
      </c>
      <c r="L14" t="str">
        <v>Hygiene</v>
      </c>
      <c r="M14">
        <v>1611</v>
      </c>
      <c r="O14" s="5" t="s">
        <v>948</v>
      </c>
      <c r="P14" s="8">
        <v>339768</v>
      </c>
      <c r="Q14" s="8">
        <v>140830</v>
      </c>
    </row>
    <row r="15" spans="1:26" x14ac:dyDescent="0.25">
      <c r="A15" s="5" t="s">
        <v>956</v>
      </c>
      <c r="B15" s="6">
        <v>10244477</v>
      </c>
      <c r="C15" s="6">
        <v>10454819</v>
      </c>
      <c r="E15" s="5" t="s">
        <v>956</v>
      </c>
      <c r="F15" s="12">
        <v>98982</v>
      </c>
      <c r="L15" t="str">
        <v>Speed</v>
      </c>
      <c r="M15">
        <v>1501</v>
      </c>
      <c r="O15" s="5" t="s">
        <v>956</v>
      </c>
      <c r="P15" s="11">
        <v>4384264</v>
      </c>
      <c r="Q15" s="11">
        <v>1656846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EC5C9-9891-43AF-8CCD-8DF98DE1AAFE}">
  <sheetPr codeName="Sheet3"/>
  <dimension ref="B1"/>
  <sheetViews>
    <sheetView showGridLines="0" showRowColHeaders="0" tabSelected="1" zoomScale="70" zoomScaleNormal="70" workbookViewId="0">
      <selection activeCell="AD23" sqref="AD23"/>
    </sheetView>
  </sheetViews>
  <sheetFormatPr defaultRowHeight="15" x14ac:dyDescent="0.25"/>
  <sheetData>
    <row r="1" spans="2:2" x14ac:dyDescent="0.25">
      <c r="B1">
        <v>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7CEAA-5B19-413C-878B-377D59733C7B}">
  <sheetPr codeName="Sheet4"/>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7EBD282-769C-461B-AC73-5B3FF10D7AF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Pivot Tables</vt:lpstr>
      <vt:lpstr>Dashboard</vt:lpstr>
      <vt:lpstr>Insights &amp; Recommendations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Murphy Sapnu</cp:lastModifiedBy>
  <dcterms:created xsi:type="dcterms:W3CDTF">2026-03-18T08:30:36Z</dcterms:created>
  <dcterms:modified xsi:type="dcterms:W3CDTF">2026-03-19T18:37:50Z</dcterms:modified>
</cp:coreProperties>
</file>